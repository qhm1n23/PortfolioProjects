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0af9a738a40f12f/Desktop/"/>
    </mc:Choice>
  </mc:AlternateContent>
  <xr:revisionPtr revIDLastSave="534" documentId="8_{AAA37BC0-AE6F-4978-90F3-EFED521580BD}" xr6:coauthVersionLast="47" xr6:coauthVersionMax="47" xr10:uidLastSave="{158A7D4A-85A1-44FC-B03A-1750CE3803FE}"/>
  <bookViews>
    <workbookView xWindow="-90" yWindow="-90" windowWidth="17460" windowHeight="10260" firstSheet="1" activeTab="1" xr2:uid="{00000000-000D-0000-FFFF-FFFF00000000}"/>
  </bookViews>
  <sheets>
    <sheet name="Illustration_Calculator" sheetId="1" r:id="rId1"/>
    <sheet name="Plan_Calculations" sheetId="2" r:id="rId2"/>
    <sheet name="Block_of_Business" sheetId="3" r:id="rId3"/>
    <sheet name="All_Payments" sheetId="4" r:id="rId4"/>
    <sheet name="Summaries" sheetId="5" r:id="rId5"/>
    <sheet name="Graphs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" i="5" l="1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6" i="5"/>
  <c r="H6" i="5"/>
  <c r="I6" i="5"/>
  <c r="J6" i="5"/>
  <c r="K6" i="5"/>
  <c r="L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6" i="5"/>
  <c r="C103" i="4"/>
  <c r="D103" i="4"/>
  <c r="E103" i="4"/>
  <c r="F103" i="4"/>
  <c r="G103" i="4"/>
  <c r="H103" i="4"/>
  <c r="I103" i="4"/>
  <c r="J103" i="4"/>
  <c r="K103" i="4"/>
  <c r="L103" i="4"/>
  <c r="M103" i="4"/>
  <c r="N103" i="4"/>
  <c r="O103" i="4"/>
  <c r="P103" i="4"/>
  <c r="Q103" i="4"/>
  <c r="R103" i="4"/>
  <c r="S103" i="4"/>
  <c r="T103" i="4"/>
  <c r="U103" i="4"/>
  <c r="V103" i="4"/>
  <c r="W103" i="4"/>
  <c r="X103" i="4"/>
  <c r="Y103" i="4"/>
  <c r="Z103" i="4"/>
  <c r="AA103" i="4"/>
  <c r="AB103" i="4"/>
  <c r="AC103" i="4"/>
  <c r="AD103" i="4"/>
  <c r="AE103" i="4"/>
  <c r="AF103" i="4"/>
  <c r="AG103" i="4"/>
  <c r="AH103" i="4"/>
  <c r="AI103" i="4"/>
  <c r="AJ103" i="4"/>
  <c r="AK103" i="4"/>
  <c r="AL103" i="4"/>
  <c r="AM103" i="4"/>
  <c r="AN103" i="4"/>
  <c r="AO103" i="4"/>
  <c r="AP103" i="4"/>
  <c r="AQ103" i="4"/>
  <c r="AR103" i="4"/>
  <c r="AS103" i="4"/>
  <c r="AT103" i="4"/>
  <c r="AU103" i="4"/>
  <c r="AV103" i="4"/>
  <c r="AW103" i="4"/>
  <c r="AX103" i="4"/>
  <c r="AY103" i="4"/>
  <c r="AZ103" i="4"/>
  <c r="BA103" i="4"/>
  <c r="BB103" i="4"/>
  <c r="BC103" i="4"/>
  <c r="BD103" i="4"/>
  <c r="BE103" i="4"/>
  <c r="BF103" i="4"/>
  <c r="BG103" i="4"/>
  <c r="BH103" i="4"/>
  <c r="BI103" i="4"/>
  <c r="BJ103" i="4"/>
  <c r="BK103" i="4"/>
  <c r="BL103" i="4"/>
  <c r="BM103" i="4"/>
  <c r="BN103" i="4"/>
  <c r="BO103" i="4"/>
  <c r="BP103" i="4"/>
  <c r="BQ103" i="4"/>
  <c r="BR103" i="4"/>
  <c r="BS103" i="4"/>
  <c r="BT103" i="4"/>
  <c r="BU103" i="4"/>
  <c r="BV103" i="4"/>
  <c r="BW103" i="4"/>
  <c r="BX103" i="4"/>
  <c r="BY103" i="4"/>
  <c r="BZ103" i="4"/>
  <c r="CA103" i="4"/>
  <c r="CB103" i="4"/>
  <c r="CC103" i="4"/>
  <c r="CD103" i="4"/>
  <c r="CE103" i="4"/>
  <c r="CF103" i="4"/>
  <c r="CG103" i="4"/>
  <c r="CH103" i="4"/>
  <c r="CI103" i="4"/>
  <c r="CJ103" i="4"/>
  <c r="CK103" i="4"/>
  <c r="CL103" i="4"/>
  <c r="CM103" i="4"/>
  <c r="CN103" i="4"/>
  <c r="CO103" i="4"/>
  <c r="CP103" i="4"/>
  <c r="CQ103" i="4"/>
  <c r="CR103" i="4"/>
  <c r="CS103" i="4"/>
  <c r="CT103" i="4"/>
  <c r="CU103" i="4"/>
  <c r="CV103" i="4"/>
  <c r="CW103" i="4"/>
  <c r="B103" i="4"/>
  <c r="C10" i="5" l="1"/>
  <c r="C12" i="5"/>
  <c r="C6" i="5"/>
  <c r="C9" i="5"/>
  <c r="C11" i="5"/>
  <c r="C8" i="5"/>
  <c r="C7" i="5"/>
  <c r="M91" i="5"/>
  <c r="M67" i="5"/>
  <c r="M35" i="5"/>
  <c r="M11" i="5"/>
  <c r="M92" i="5"/>
  <c r="M68" i="5"/>
  <c r="M44" i="5"/>
  <c r="M12" i="5"/>
  <c r="M90" i="5"/>
  <c r="M66" i="5"/>
  <c r="M42" i="5"/>
  <c r="M10" i="5"/>
  <c r="M94" i="5"/>
  <c r="M70" i="5"/>
  <c r="M46" i="5"/>
  <c r="M22" i="5"/>
  <c r="M97" i="5"/>
  <c r="M81" i="5"/>
  <c r="M65" i="5"/>
  <c r="M49" i="5"/>
  <c r="M33" i="5"/>
  <c r="M9" i="5"/>
  <c r="M101" i="5"/>
  <c r="M93" i="5"/>
  <c r="M85" i="5"/>
  <c r="M77" i="5"/>
  <c r="M69" i="5"/>
  <c r="M61" i="5"/>
  <c r="M53" i="5"/>
  <c r="M45" i="5"/>
  <c r="M37" i="5"/>
  <c r="M29" i="5"/>
  <c r="M21" i="5"/>
  <c r="M13" i="5"/>
  <c r="M99" i="5"/>
  <c r="M83" i="5"/>
  <c r="M59" i="5"/>
  <c r="M43" i="5"/>
  <c r="M19" i="5"/>
  <c r="M100" i="5"/>
  <c r="M76" i="5"/>
  <c r="M60" i="5"/>
  <c r="M36" i="5"/>
  <c r="M20" i="5"/>
  <c r="M6" i="5"/>
  <c r="M82" i="5"/>
  <c r="M58" i="5"/>
  <c r="M34" i="5"/>
  <c r="M18" i="5"/>
  <c r="M102" i="5"/>
  <c r="M78" i="5"/>
  <c r="M54" i="5"/>
  <c r="M30" i="5"/>
  <c r="M105" i="5"/>
  <c r="M89" i="5"/>
  <c r="M73" i="5"/>
  <c r="M57" i="5"/>
  <c r="M41" i="5"/>
  <c r="M25" i="5"/>
  <c r="M17" i="5"/>
  <c r="M104" i="5"/>
  <c r="M96" i="5"/>
  <c r="M88" i="5"/>
  <c r="M80" i="5"/>
  <c r="M72" i="5"/>
  <c r="M64" i="5"/>
  <c r="M56" i="5"/>
  <c r="M48" i="5"/>
  <c r="M40" i="5"/>
  <c r="M32" i="5"/>
  <c r="M24" i="5"/>
  <c r="M16" i="5"/>
  <c r="M8" i="5"/>
  <c r="M75" i="5"/>
  <c r="M51" i="5"/>
  <c r="M27" i="5"/>
  <c r="M84" i="5"/>
  <c r="M52" i="5"/>
  <c r="M28" i="5"/>
  <c r="M98" i="5"/>
  <c r="M74" i="5"/>
  <c r="M50" i="5"/>
  <c r="M26" i="5"/>
  <c r="M86" i="5"/>
  <c r="M62" i="5"/>
  <c r="M38" i="5"/>
  <c r="M14" i="5"/>
  <c r="M103" i="5"/>
  <c r="M95" i="5"/>
  <c r="M87" i="5"/>
  <c r="M79" i="5"/>
  <c r="M71" i="5"/>
  <c r="M63" i="5"/>
  <c r="M55" i="5"/>
  <c r="M47" i="5"/>
  <c r="M39" i="5"/>
  <c r="M31" i="5"/>
  <c r="M23" i="5"/>
  <c r="M15" i="5"/>
  <c r="M7" i="5"/>
  <c r="B9" i="2"/>
  <c r="B6" i="2"/>
  <c r="G54" i="2" s="1"/>
  <c r="B3" i="2"/>
  <c r="H12" i="1"/>
  <c r="E7" i="1"/>
  <c r="D6" i="1"/>
  <c r="C13" i="5" l="1"/>
  <c r="G46" i="2"/>
  <c r="G56" i="2"/>
  <c r="G60" i="2"/>
  <c r="G62" i="2"/>
  <c r="G70" i="2"/>
  <c r="G15" i="2"/>
  <c r="C3" i="2"/>
  <c r="C4" i="2" s="1"/>
  <c r="C5" i="2" s="1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G7" i="2"/>
  <c r="G19" i="2"/>
  <c r="G21" i="2"/>
  <c r="G28" i="2"/>
  <c r="G30" i="2"/>
  <c r="G31" i="2"/>
  <c r="G11" i="2"/>
  <c r="G32" i="2"/>
  <c r="G13" i="2"/>
  <c r="G36" i="2"/>
  <c r="G17" i="2"/>
  <c r="G38" i="2"/>
  <c r="G8" i="2"/>
  <c r="G23" i="2"/>
  <c r="G40" i="2"/>
  <c r="G9" i="2"/>
  <c r="G25" i="2"/>
  <c r="G44" i="2"/>
  <c r="L33" i="2"/>
  <c r="K67" i="2"/>
  <c r="L15" i="2"/>
  <c r="L23" i="2"/>
  <c r="G48" i="2"/>
  <c r="G52" i="2"/>
  <c r="J5" i="2"/>
  <c r="L4" i="2"/>
  <c r="K28" i="2"/>
  <c r="L19" i="2"/>
  <c r="K53" i="2"/>
  <c r="L11" i="2"/>
  <c r="L75" i="2"/>
  <c r="G64" i="2"/>
  <c r="G68" i="2"/>
  <c r="L74" i="2"/>
  <c r="K12" i="2"/>
  <c r="K20" i="2"/>
  <c r="K29" i="2"/>
  <c r="L40" i="2"/>
  <c r="K61" i="2"/>
  <c r="K35" i="2"/>
  <c r="K41" i="2"/>
  <c r="L54" i="2"/>
  <c r="K69" i="2"/>
  <c r="H3" i="2"/>
  <c r="H6" i="2"/>
  <c r="K9" i="2"/>
  <c r="K13" i="2"/>
  <c r="K17" i="2"/>
  <c r="K21" i="2"/>
  <c r="K25" i="2"/>
  <c r="L30" i="2"/>
  <c r="L41" i="2"/>
  <c r="L48" i="2"/>
  <c r="L62" i="2"/>
  <c r="K8" i="2"/>
  <c r="K16" i="2"/>
  <c r="K24" i="2"/>
  <c r="L34" i="2"/>
  <c r="L46" i="2"/>
  <c r="L5" i="2"/>
  <c r="J3" i="2"/>
  <c r="J6" i="2"/>
  <c r="L9" i="2"/>
  <c r="L13" i="2"/>
  <c r="L17" i="2"/>
  <c r="L21" i="2"/>
  <c r="L25" i="2"/>
  <c r="K36" i="2"/>
  <c r="L42" i="2"/>
  <c r="K49" i="2"/>
  <c r="L56" i="2"/>
  <c r="L70" i="2"/>
  <c r="K10" i="2"/>
  <c r="K14" i="2"/>
  <c r="K18" i="2"/>
  <c r="K22" i="2"/>
  <c r="L26" i="2"/>
  <c r="K37" i="2"/>
  <c r="K43" i="2"/>
  <c r="L50" i="2"/>
  <c r="K57" i="2"/>
  <c r="L64" i="2"/>
  <c r="K72" i="2"/>
  <c r="H4" i="2"/>
  <c r="J7" i="2"/>
  <c r="K27" i="2"/>
  <c r="L32" i="2"/>
  <c r="K51" i="2"/>
  <c r="L58" i="2"/>
  <c r="K65" i="2"/>
  <c r="K73" i="2"/>
  <c r="K4" i="2"/>
  <c r="L7" i="2"/>
  <c r="K11" i="2"/>
  <c r="K15" i="2"/>
  <c r="K19" i="2"/>
  <c r="K23" i="2"/>
  <c r="K33" i="2"/>
  <c r="L38" i="2"/>
  <c r="K45" i="2"/>
  <c r="K59" i="2"/>
  <c r="L66" i="2"/>
  <c r="G3" i="2"/>
  <c r="J4" i="2"/>
  <c r="G6" i="2"/>
  <c r="K7" i="2"/>
  <c r="H9" i="2"/>
  <c r="H11" i="2"/>
  <c r="H13" i="2"/>
  <c r="H15" i="2"/>
  <c r="H17" i="2"/>
  <c r="H19" i="2"/>
  <c r="H21" i="2"/>
  <c r="H23" i="2"/>
  <c r="H25" i="2"/>
  <c r="L27" i="2"/>
  <c r="K30" i="2"/>
  <c r="G33" i="2"/>
  <c r="L35" i="2"/>
  <c r="K38" i="2"/>
  <c r="G41" i="2"/>
  <c r="L43" i="2"/>
  <c r="K46" i="2"/>
  <c r="G49" i="2"/>
  <c r="L51" i="2"/>
  <c r="K54" i="2"/>
  <c r="G57" i="2"/>
  <c r="L59" i="2"/>
  <c r="K62" i="2"/>
  <c r="G65" i="2"/>
  <c r="L67" i="2"/>
  <c r="K70" i="2"/>
  <c r="L73" i="2"/>
  <c r="G39" i="2"/>
  <c r="K44" i="2"/>
  <c r="G47" i="2"/>
  <c r="L49" i="2"/>
  <c r="L57" i="2"/>
  <c r="K60" i="2"/>
  <c r="G63" i="2"/>
  <c r="L65" i="2"/>
  <c r="K68" i="2"/>
  <c r="G71" i="2"/>
  <c r="F75" i="2"/>
  <c r="K52" i="2"/>
  <c r="K3" i="2"/>
  <c r="G5" i="2"/>
  <c r="H8" i="2"/>
  <c r="G10" i="2"/>
  <c r="G12" i="2"/>
  <c r="G16" i="2"/>
  <c r="G18" i="2"/>
  <c r="G20" i="2"/>
  <c r="G22" i="2"/>
  <c r="G24" i="2"/>
  <c r="G26" i="2"/>
  <c r="L28" i="2"/>
  <c r="K31" i="2"/>
  <c r="G34" i="2"/>
  <c r="L36" i="2"/>
  <c r="K39" i="2"/>
  <c r="G42" i="2"/>
  <c r="L44" i="2"/>
  <c r="K47" i="2"/>
  <c r="G50" i="2"/>
  <c r="L52" i="2"/>
  <c r="K55" i="2"/>
  <c r="G58" i="2"/>
  <c r="L60" i="2"/>
  <c r="K63" i="2"/>
  <c r="G66" i="2"/>
  <c r="L68" i="2"/>
  <c r="K71" i="2"/>
  <c r="I75" i="2"/>
  <c r="G55" i="2"/>
  <c r="K6" i="2"/>
  <c r="G14" i="2"/>
  <c r="L3" i="2"/>
  <c r="H5" i="2"/>
  <c r="L6" i="2"/>
  <c r="J8" i="2"/>
  <c r="H10" i="2"/>
  <c r="H12" i="2"/>
  <c r="H14" i="2"/>
  <c r="H16" i="2"/>
  <c r="H18" i="2"/>
  <c r="H20" i="2"/>
  <c r="H22" i="2"/>
  <c r="H24" i="2"/>
  <c r="K26" i="2"/>
  <c r="G29" i="2"/>
  <c r="L31" i="2"/>
  <c r="K34" i="2"/>
  <c r="G37" i="2"/>
  <c r="L39" i="2"/>
  <c r="K42" i="2"/>
  <c r="G45" i="2"/>
  <c r="L47" i="2"/>
  <c r="K50" i="2"/>
  <c r="G53" i="2"/>
  <c r="L55" i="2"/>
  <c r="K58" i="2"/>
  <c r="G61" i="2"/>
  <c r="L63" i="2"/>
  <c r="K66" i="2"/>
  <c r="G69" i="2"/>
  <c r="G72" i="2"/>
  <c r="L71" i="2"/>
  <c r="G4" i="2"/>
  <c r="K5" i="2"/>
  <c r="H7" i="2"/>
  <c r="L8" i="2"/>
  <c r="L10" i="2"/>
  <c r="L12" i="2"/>
  <c r="L14" i="2"/>
  <c r="L16" i="2"/>
  <c r="L18" i="2"/>
  <c r="L20" i="2"/>
  <c r="L22" i="2"/>
  <c r="L24" i="2"/>
  <c r="G27" i="2"/>
  <c r="L29" i="2"/>
  <c r="K32" i="2"/>
  <c r="G35" i="2"/>
  <c r="L37" i="2"/>
  <c r="K40" i="2"/>
  <c r="G43" i="2"/>
  <c r="L45" i="2"/>
  <c r="K48" i="2"/>
  <c r="G51" i="2"/>
  <c r="L53" i="2"/>
  <c r="K56" i="2"/>
  <c r="G59" i="2"/>
  <c r="L61" i="2"/>
  <c r="K64" i="2"/>
  <c r="G67" i="2"/>
  <c r="L69" i="2"/>
  <c r="G73" i="2"/>
  <c r="H74" i="2"/>
  <c r="D7" i="1"/>
  <c r="L72" i="2"/>
  <c r="E8" i="1"/>
  <c r="F74" i="2"/>
  <c r="G75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G74" i="2"/>
  <c r="H7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I74" i="2"/>
  <c r="J75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J74" i="2"/>
  <c r="K75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K74" i="2"/>
  <c r="F7" i="1" l="1"/>
  <c r="F6" i="1"/>
  <c r="F8" i="1"/>
  <c r="E9" i="1"/>
  <c r="D8" i="1"/>
  <c r="F9" i="1" l="1"/>
  <c r="E10" i="1"/>
  <c r="D9" i="1"/>
  <c r="D10" i="1" l="1"/>
  <c r="E11" i="1"/>
  <c r="F10" i="1"/>
  <c r="F11" i="1" l="1"/>
  <c r="D11" i="1"/>
  <c r="E12" i="1"/>
  <c r="F12" i="1" l="1"/>
  <c r="E13" i="1"/>
  <c r="D12" i="1"/>
  <c r="F13" i="1" l="1"/>
  <c r="D13" i="1"/>
  <c r="E14" i="1"/>
  <c r="D14" i="1" l="1"/>
  <c r="E15" i="1"/>
  <c r="F14" i="1"/>
  <c r="F15" i="1" l="1"/>
  <c r="E16" i="1"/>
  <c r="D15" i="1"/>
  <c r="F16" i="1" l="1"/>
  <c r="E17" i="1"/>
  <c r="D16" i="1"/>
  <c r="F17" i="1" l="1"/>
  <c r="D17" i="1"/>
  <c r="E18" i="1"/>
  <c r="F18" i="1" l="1"/>
  <c r="D18" i="1"/>
  <c r="E19" i="1"/>
  <c r="F19" i="1" l="1"/>
  <c r="E20" i="1"/>
  <c r="D19" i="1"/>
  <c r="F20" i="1" l="1"/>
  <c r="E21" i="1"/>
  <c r="D20" i="1"/>
  <c r="F21" i="1" l="1"/>
  <c r="D21" i="1"/>
  <c r="E22" i="1"/>
  <c r="D22" i="1" l="1"/>
  <c r="E23" i="1"/>
  <c r="F22" i="1"/>
  <c r="F23" i="1" l="1"/>
  <c r="D23" i="1"/>
  <c r="E24" i="1"/>
  <c r="F24" i="1" l="1"/>
  <c r="E25" i="1"/>
  <c r="D24" i="1"/>
  <c r="F25" i="1" l="1"/>
  <c r="D25" i="1"/>
  <c r="E26" i="1"/>
  <c r="D26" i="1" l="1"/>
  <c r="E27" i="1"/>
  <c r="F26" i="1"/>
  <c r="F27" i="1" l="1"/>
  <c r="E28" i="1"/>
  <c r="D27" i="1"/>
  <c r="F28" i="1" l="1"/>
  <c r="E29" i="1"/>
  <c r="D28" i="1"/>
  <c r="F29" i="1" l="1"/>
  <c r="D29" i="1"/>
  <c r="E30" i="1"/>
  <c r="D30" i="1" l="1"/>
  <c r="E31" i="1"/>
  <c r="F30" i="1"/>
  <c r="D31" i="1" l="1"/>
  <c r="F31" i="1"/>
  <c r="E32" i="1"/>
  <c r="F32" i="1" l="1"/>
  <c r="E33" i="1"/>
  <c r="D32" i="1"/>
  <c r="F33" i="1" l="1"/>
  <c r="D33" i="1"/>
  <c r="E34" i="1"/>
  <c r="D34" i="1" l="1"/>
  <c r="F34" i="1"/>
  <c r="E35" i="1"/>
  <c r="F35" i="1" l="1"/>
  <c r="D35" i="1"/>
  <c r="E36" i="1"/>
  <c r="F36" i="1" l="1"/>
  <c r="E37" i="1"/>
  <c r="D36" i="1"/>
  <c r="F37" i="1" l="1"/>
  <c r="D37" i="1"/>
  <c r="E38" i="1"/>
  <c r="D38" i="1" l="1"/>
  <c r="F38" i="1"/>
  <c r="E39" i="1"/>
  <c r="F39" i="1" l="1"/>
  <c r="E40" i="1"/>
  <c r="D39" i="1"/>
  <c r="F40" i="1" l="1"/>
  <c r="E41" i="1"/>
  <c r="D40" i="1"/>
  <c r="F41" i="1" l="1"/>
  <c r="D41" i="1"/>
  <c r="E42" i="1"/>
  <c r="D42" i="1" l="1"/>
  <c r="E43" i="1"/>
  <c r="F42" i="1"/>
  <c r="F43" i="1" l="1"/>
  <c r="E44" i="1"/>
  <c r="D43" i="1"/>
  <c r="F44" i="1" l="1"/>
  <c r="E45" i="1"/>
  <c r="D44" i="1"/>
  <c r="F45" i="1" l="1"/>
  <c r="D45" i="1"/>
  <c r="E46" i="1"/>
  <c r="D46" i="1" l="1"/>
  <c r="E47" i="1"/>
  <c r="F46" i="1"/>
  <c r="D47" i="1" l="1"/>
  <c r="E48" i="1"/>
  <c r="F47" i="1"/>
  <c r="F48" i="1" l="1"/>
  <c r="E49" i="1"/>
  <c r="D48" i="1"/>
  <c r="F49" i="1" l="1"/>
  <c r="D49" i="1"/>
  <c r="E50" i="1"/>
  <c r="D50" i="1" l="1"/>
  <c r="E51" i="1"/>
  <c r="F50" i="1"/>
  <c r="F51" i="1" l="1"/>
  <c r="D51" i="1"/>
  <c r="E52" i="1"/>
  <c r="F52" i="1" l="1"/>
  <c r="E53" i="1"/>
  <c r="D52" i="1"/>
  <c r="F53" i="1" l="1"/>
  <c r="D53" i="1"/>
  <c r="E54" i="1"/>
  <c r="D54" i="1" l="1"/>
  <c r="F54" i="1"/>
  <c r="E55" i="1"/>
  <c r="F55" i="1" l="1"/>
  <c r="E56" i="1"/>
  <c r="D55" i="1"/>
  <c r="F56" i="1" l="1"/>
  <c r="E57" i="1"/>
  <c r="D56" i="1"/>
  <c r="F57" i="1" l="1"/>
  <c r="D57" i="1"/>
  <c r="E58" i="1"/>
  <c r="D58" i="1" l="1"/>
  <c r="F58" i="1"/>
  <c r="E59" i="1"/>
  <c r="F59" i="1" l="1"/>
  <c r="D59" i="1"/>
  <c r="E60" i="1"/>
  <c r="F60" i="1" l="1"/>
  <c r="E61" i="1"/>
  <c r="D60" i="1"/>
  <c r="F61" i="1" l="1"/>
  <c r="E62" i="1"/>
  <c r="D61" i="1"/>
  <c r="F62" i="1" l="1"/>
  <c r="D62" i="1"/>
  <c r="E63" i="1"/>
  <c r="F63" i="1" l="1"/>
  <c r="E64" i="1"/>
  <c r="D63" i="1"/>
  <c r="E65" i="1" l="1"/>
  <c r="F64" i="1"/>
  <c r="D64" i="1"/>
  <c r="F65" i="1" l="1"/>
  <c r="E66" i="1"/>
  <c r="D65" i="1"/>
  <c r="D66" i="1" l="1"/>
  <c r="F66" i="1"/>
  <c r="E67" i="1"/>
  <c r="D67" i="1" l="1"/>
  <c r="F67" i="1"/>
  <c r="E68" i="1"/>
  <c r="F68" i="1" l="1"/>
  <c r="E69" i="1"/>
  <c r="D68" i="1"/>
  <c r="F69" i="1" l="1"/>
  <c r="E70" i="1"/>
  <c r="D69" i="1"/>
  <c r="E71" i="1" l="1"/>
  <c r="D70" i="1"/>
  <c r="F70" i="1"/>
  <c r="D71" i="1" l="1"/>
  <c r="F71" i="1"/>
  <c r="E72" i="1"/>
  <c r="E73" i="1" l="1"/>
  <c r="F72" i="1"/>
  <c r="D72" i="1"/>
  <c r="F73" i="1" l="1"/>
  <c r="D73" i="1"/>
  <c r="E74" i="1"/>
  <c r="F74" i="1" l="1"/>
  <c r="E75" i="1"/>
  <c r="D74" i="1"/>
  <c r="D75" i="1" l="1"/>
  <c r="F75" i="1"/>
  <c r="E76" i="1"/>
  <c r="F76" i="1" l="1"/>
  <c r="D76" i="1"/>
  <c r="H6" i="1" l="1"/>
  <c r="H9" i="1"/>
</calcChain>
</file>

<file path=xl/sharedStrings.xml><?xml version="1.0" encoding="utf-8"?>
<sst xmlns="http://schemas.openxmlformats.org/spreadsheetml/2006/main" count="623" uniqueCount="304">
  <si>
    <t>ILLUSTRATION TOOL</t>
  </si>
  <si>
    <t>For Agent Use Only</t>
  </si>
  <si>
    <t>Plan # Selection</t>
  </si>
  <si>
    <t>Age</t>
  </si>
  <si>
    <t>Year</t>
  </si>
  <si>
    <t>Exp. Annuity Payment</t>
  </si>
  <si>
    <t>Total Payment</t>
  </si>
  <si>
    <t>Plan # 5</t>
  </si>
  <si>
    <t>Current Age</t>
  </si>
  <si>
    <t>Total Years Of Payment</t>
  </si>
  <si>
    <t>Age Payments Begin</t>
  </si>
  <si>
    <t>Age Of Last Payment</t>
  </si>
  <si>
    <t>Years Of Payment</t>
  </si>
  <si>
    <t>Years of Payment</t>
  </si>
  <si>
    <t>Plan # 1</t>
  </si>
  <si>
    <t>Plan # 2</t>
  </si>
  <si>
    <t>Plan # 3</t>
  </si>
  <si>
    <t>Plan # 4</t>
  </si>
  <si>
    <t>Plan # 6</t>
  </si>
  <si>
    <t>Plan # 7</t>
  </si>
  <si>
    <t>Year 1</t>
  </si>
  <si>
    <t>Year 2</t>
  </si>
  <si>
    <t>Current Age of Client</t>
  </si>
  <si>
    <t>Year 3</t>
  </si>
  <si>
    <t>Year 4</t>
  </si>
  <si>
    <t>Year 5</t>
  </si>
  <si>
    <t>Age Payments begin</t>
  </si>
  <si>
    <t>Year 6</t>
  </si>
  <si>
    <t>Year 7</t>
  </si>
  <si>
    <t>Year 8</t>
  </si>
  <si>
    <t>Year 9</t>
  </si>
  <si>
    <t>Year 10</t>
  </si>
  <si>
    <t>Year 11</t>
  </si>
  <si>
    <t>Year 12</t>
  </si>
  <si>
    <t>Year 13</t>
  </si>
  <si>
    <t>Year 14</t>
  </si>
  <si>
    <t>Year 15</t>
  </si>
  <si>
    <t>Year 16</t>
  </si>
  <si>
    <t>Year 17</t>
  </si>
  <si>
    <t>Year 18</t>
  </si>
  <si>
    <t>Year 19</t>
  </si>
  <si>
    <t>Year 20</t>
  </si>
  <si>
    <t>Year 21</t>
  </si>
  <si>
    <t>Year 22</t>
  </si>
  <si>
    <t>Year 23</t>
  </si>
  <si>
    <t>Year 24</t>
  </si>
  <si>
    <t>Year 25</t>
  </si>
  <si>
    <t>Year 26</t>
  </si>
  <si>
    <t>Year 27</t>
  </si>
  <si>
    <t>Year 28</t>
  </si>
  <si>
    <t>Year 29</t>
  </si>
  <si>
    <t>Year 30</t>
  </si>
  <si>
    <t>Year 31</t>
  </si>
  <si>
    <t>Year 32</t>
  </si>
  <si>
    <t>Year 33</t>
  </si>
  <si>
    <t>Year 34</t>
  </si>
  <si>
    <t>Year 35</t>
  </si>
  <si>
    <t>Year 36</t>
  </si>
  <si>
    <t>Year 37</t>
  </si>
  <si>
    <t>Year 38</t>
  </si>
  <si>
    <t>Year 39</t>
  </si>
  <si>
    <t>Year 40</t>
  </si>
  <si>
    <t>Year 41</t>
  </si>
  <si>
    <t>Year 42</t>
  </si>
  <si>
    <t>Year 43</t>
  </si>
  <si>
    <t>Year 44</t>
  </si>
  <si>
    <t>Year 45</t>
  </si>
  <si>
    <t>Year 46</t>
  </si>
  <si>
    <t>Year 47</t>
  </si>
  <si>
    <t>Year 48</t>
  </si>
  <si>
    <t>Year 49</t>
  </si>
  <si>
    <t>Year 50</t>
  </si>
  <si>
    <t>Year 51</t>
  </si>
  <si>
    <t>Year 52</t>
  </si>
  <si>
    <t>Year 53</t>
  </si>
  <si>
    <t>Year 54</t>
  </si>
  <si>
    <t>Year 55</t>
  </si>
  <si>
    <t>Year 56</t>
  </si>
  <si>
    <t>Year 57</t>
  </si>
  <si>
    <t>Year 58</t>
  </si>
  <si>
    <t>Year 59</t>
  </si>
  <si>
    <t>Year 60</t>
  </si>
  <si>
    <t>Year 61</t>
  </si>
  <si>
    <t>Year 62</t>
  </si>
  <si>
    <t>Year 63</t>
  </si>
  <si>
    <t>Year 64</t>
  </si>
  <si>
    <t>Year 65</t>
  </si>
  <si>
    <t>Year 66</t>
  </si>
  <si>
    <t>Year 67</t>
  </si>
  <si>
    <t>Year 68</t>
  </si>
  <si>
    <t>Year 69</t>
  </si>
  <si>
    <t>Year 70</t>
  </si>
  <si>
    <t>Year 71</t>
  </si>
  <si>
    <t>Year 72</t>
  </si>
  <si>
    <t>Year 73</t>
  </si>
  <si>
    <t>Client Name</t>
  </si>
  <si>
    <t>Plan #</t>
  </si>
  <si>
    <t>Client # 1</t>
  </si>
  <si>
    <t>Client # 2</t>
  </si>
  <si>
    <t>Client # 3</t>
  </si>
  <si>
    <t>Client # 4</t>
  </si>
  <si>
    <t>Client # 5</t>
  </si>
  <si>
    <t>Client # 6</t>
  </si>
  <si>
    <t>Client # 7</t>
  </si>
  <si>
    <t>Client # 8</t>
  </si>
  <si>
    <t>Client # 9</t>
  </si>
  <si>
    <t>Client # 10</t>
  </si>
  <si>
    <t>Client # 11</t>
  </si>
  <si>
    <t>Client # 12</t>
  </si>
  <si>
    <t>Client # 13</t>
  </si>
  <si>
    <t>Client # 14</t>
  </si>
  <si>
    <t>Client # 15</t>
  </si>
  <si>
    <t>Client # 16</t>
  </si>
  <si>
    <t>Client # 17</t>
  </si>
  <si>
    <t>Client # 18</t>
  </si>
  <si>
    <t>Client # 19</t>
  </si>
  <si>
    <t>Client # 20</t>
  </si>
  <si>
    <t>Client # 21</t>
  </si>
  <si>
    <t>Client # 22</t>
  </si>
  <si>
    <t>Client # 23</t>
  </si>
  <si>
    <t>Client # 24</t>
  </si>
  <si>
    <t>Client # 25</t>
  </si>
  <si>
    <t>Client # 26</t>
  </si>
  <si>
    <t>Client # 27</t>
  </si>
  <si>
    <t>Client # 28</t>
  </si>
  <si>
    <t>Client # 29</t>
  </si>
  <si>
    <t>Client # 30</t>
  </si>
  <si>
    <t>Client # 31</t>
  </si>
  <si>
    <t>Client # 32</t>
  </si>
  <si>
    <t>Client # 33</t>
  </si>
  <si>
    <t>Client # 34</t>
  </si>
  <si>
    <t>Client # 35</t>
  </si>
  <si>
    <t>Client # 36</t>
  </si>
  <si>
    <t>Client # 37</t>
  </si>
  <si>
    <t>Client # 38</t>
  </si>
  <si>
    <t>Client # 39</t>
  </si>
  <si>
    <t>Client # 40</t>
  </si>
  <si>
    <t>Client # 41</t>
  </si>
  <si>
    <t>Client # 42</t>
  </si>
  <si>
    <t>Client # 43</t>
  </si>
  <si>
    <t>Client # 44</t>
  </si>
  <si>
    <t>Client # 45</t>
  </si>
  <si>
    <t>Client # 46</t>
  </si>
  <si>
    <t>Client # 47</t>
  </si>
  <si>
    <t>Client # 48</t>
  </si>
  <si>
    <t>Client # 49</t>
  </si>
  <si>
    <t>Client # 50</t>
  </si>
  <si>
    <t>Client # 51</t>
  </si>
  <si>
    <t>Client # 52</t>
  </si>
  <si>
    <t>Client # 53</t>
  </si>
  <si>
    <t>Client # 54</t>
  </si>
  <si>
    <t>Client # 55</t>
  </si>
  <si>
    <t>Client # 56</t>
  </si>
  <si>
    <t>Client # 57</t>
  </si>
  <si>
    <t>Client # 58</t>
  </si>
  <si>
    <t>Client # 59</t>
  </si>
  <si>
    <t>Client # 60</t>
  </si>
  <si>
    <t>Client # 61</t>
  </si>
  <si>
    <t>Client # 62</t>
  </si>
  <si>
    <t>Client # 63</t>
  </si>
  <si>
    <t>Client # 64</t>
  </si>
  <si>
    <t>Client # 65</t>
  </si>
  <si>
    <t>Client # 66</t>
  </si>
  <si>
    <t>Client # 67</t>
  </si>
  <si>
    <t>Client # 68</t>
  </si>
  <si>
    <t>Client # 69</t>
  </si>
  <si>
    <t>Client # 70</t>
  </si>
  <si>
    <t>Client # 71</t>
  </si>
  <si>
    <t>Client # 72</t>
  </si>
  <si>
    <t>Client # 73</t>
  </si>
  <si>
    <t>Client # 74</t>
  </si>
  <si>
    <t>Client # 75</t>
  </si>
  <si>
    <t>Client # 76</t>
  </si>
  <si>
    <t>Client # 77</t>
  </si>
  <si>
    <t>Client # 78</t>
  </si>
  <si>
    <t>Client # 79</t>
  </si>
  <si>
    <t>Client # 80</t>
  </si>
  <si>
    <t>Client # 81</t>
  </si>
  <si>
    <t>Client # 82</t>
  </si>
  <si>
    <t>Client # 83</t>
  </si>
  <si>
    <t>Client # 84</t>
  </si>
  <si>
    <t>Client # 85</t>
  </si>
  <si>
    <t>Client # 86</t>
  </si>
  <si>
    <t>Client # 87</t>
  </si>
  <si>
    <t>Client # 88</t>
  </si>
  <si>
    <t>Client # 89</t>
  </si>
  <si>
    <t>Client # 90</t>
  </si>
  <si>
    <t>Client # 91</t>
  </si>
  <si>
    <t>Client # 92</t>
  </si>
  <si>
    <t>Client # 93</t>
  </si>
  <si>
    <t>Client # 94</t>
  </si>
  <si>
    <t>Client # 95</t>
  </si>
  <si>
    <t>Client # 96</t>
  </si>
  <si>
    <t>Client # 97</t>
  </si>
  <si>
    <t>Client # 98</t>
  </si>
  <si>
    <t>Client # 99</t>
  </si>
  <si>
    <t>Client # 100</t>
  </si>
  <si>
    <t>Payment Year</t>
  </si>
  <si>
    <t>Total</t>
  </si>
  <si>
    <t>Plan</t>
  </si>
  <si>
    <t>Total Payments</t>
  </si>
  <si>
    <t>All Plans</t>
  </si>
  <si>
    <t>Total Payments By Plan #</t>
  </si>
  <si>
    <t>Total Payments By Year</t>
  </si>
  <si>
    <t>Year # 1</t>
  </si>
  <si>
    <t>Year # 2</t>
  </si>
  <si>
    <t>Year # 3</t>
  </si>
  <si>
    <t>Year # 4</t>
  </si>
  <si>
    <t>Year # 5</t>
  </si>
  <si>
    <t>Year # 6</t>
  </si>
  <si>
    <t>Year # 7</t>
  </si>
  <si>
    <t>Year # 8</t>
  </si>
  <si>
    <t>Year # 9</t>
  </si>
  <si>
    <t>Year # 10</t>
  </si>
  <si>
    <t>Year # 11</t>
  </si>
  <si>
    <t>Year # 12</t>
  </si>
  <si>
    <t>Year # 13</t>
  </si>
  <si>
    <t>Year # 14</t>
  </si>
  <si>
    <t>Year # 15</t>
  </si>
  <si>
    <t>Year # 16</t>
  </si>
  <si>
    <t>Year # 17</t>
  </si>
  <si>
    <t>Year # 18</t>
  </si>
  <si>
    <t>Year # 19</t>
  </si>
  <si>
    <t>Year # 20</t>
  </si>
  <si>
    <t>Year # 21</t>
  </si>
  <si>
    <t>Year # 22</t>
  </si>
  <si>
    <t>Year # 23</t>
  </si>
  <si>
    <t>Year # 24</t>
  </si>
  <si>
    <t>Year # 25</t>
  </si>
  <si>
    <t>Year # 26</t>
  </si>
  <si>
    <t>Year # 27</t>
  </si>
  <si>
    <t>Year # 28</t>
  </si>
  <si>
    <t>Year # 29</t>
  </si>
  <si>
    <t>Year # 30</t>
  </si>
  <si>
    <t>Year # 31</t>
  </si>
  <si>
    <t>Year # 32</t>
  </si>
  <si>
    <t>Year # 33</t>
  </si>
  <si>
    <t>Year # 34</t>
  </si>
  <si>
    <t>Year # 35</t>
  </si>
  <si>
    <t>Year # 36</t>
  </si>
  <si>
    <t>Year # 37</t>
  </si>
  <si>
    <t>Year # 38</t>
  </si>
  <si>
    <t>Year # 39</t>
  </si>
  <si>
    <t>Year # 40</t>
  </si>
  <si>
    <t>Year # 41</t>
  </si>
  <si>
    <t>Year # 42</t>
  </si>
  <si>
    <t>Year # 43</t>
  </si>
  <si>
    <t>Year # 44</t>
  </si>
  <si>
    <t>Year # 45</t>
  </si>
  <si>
    <t>Year # 46</t>
  </si>
  <si>
    <t>Year # 47</t>
  </si>
  <si>
    <t>Year # 48</t>
  </si>
  <si>
    <t>Year # 49</t>
  </si>
  <si>
    <t>Year # 50</t>
  </si>
  <si>
    <t>Year # 51</t>
  </si>
  <si>
    <t>Year # 52</t>
  </si>
  <si>
    <t>Year # 53</t>
  </si>
  <si>
    <t>Year # 54</t>
  </si>
  <si>
    <t>Year # 55</t>
  </si>
  <si>
    <t>Year # 56</t>
  </si>
  <si>
    <t>Year # 57</t>
  </si>
  <si>
    <t>Year # 58</t>
  </si>
  <si>
    <t>Year # 59</t>
  </si>
  <si>
    <t>Year # 60</t>
  </si>
  <si>
    <t>Year # 61</t>
  </si>
  <si>
    <t>Year # 62</t>
  </si>
  <si>
    <t>Year # 63</t>
  </si>
  <si>
    <t>Year # 64</t>
  </si>
  <si>
    <t>Year # 65</t>
  </si>
  <si>
    <t>Year # 66</t>
  </si>
  <si>
    <t>Year # 67</t>
  </si>
  <si>
    <t>Year # 68</t>
  </si>
  <si>
    <t>Year # 69</t>
  </si>
  <si>
    <t>Year # 70</t>
  </si>
  <si>
    <t>Year # 71</t>
  </si>
  <si>
    <t>Year # 72</t>
  </si>
  <si>
    <t>Year # 73</t>
  </si>
  <si>
    <t>Year # 74</t>
  </si>
  <si>
    <t>Year # 75</t>
  </si>
  <si>
    <t>Year # 76</t>
  </si>
  <si>
    <t>Year # 77</t>
  </si>
  <si>
    <t>Year # 78</t>
  </si>
  <si>
    <t>Year # 79</t>
  </si>
  <si>
    <t>Year # 80</t>
  </si>
  <si>
    <t>Year # 81</t>
  </si>
  <si>
    <t>Year # 82</t>
  </si>
  <si>
    <t>Year # 83</t>
  </si>
  <si>
    <t>Year # 84</t>
  </si>
  <si>
    <t>Year # 85</t>
  </si>
  <si>
    <t>Year # 86</t>
  </si>
  <si>
    <t>Year # 87</t>
  </si>
  <si>
    <t>Year # 88</t>
  </si>
  <si>
    <t>Year # 89</t>
  </si>
  <si>
    <t>Year # 90</t>
  </si>
  <si>
    <t>Year # 91</t>
  </si>
  <si>
    <t>Year # 92</t>
  </si>
  <si>
    <t>Year # 93</t>
  </si>
  <si>
    <t>Year # 94</t>
  </si>
  <si>
    <t>Year # 95</t>
  </si>
  <si>
    <t>Year # 96</t>
  </si>
  <si>
    <t>Year # 97</t>
  </si>
  <si>
    <t>Year # 98</t>
  </si>
  <si>
    <t>Year # 99</t>
  </si>
  <si>
    <t>Year # 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</si>
</sst>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43" formatCode="_(* #,##0.00_);_(* \(#,##0.00\);_(* &quot;-&quot;??_);_(@_)"/>
    <numFmt numFmtId="164" formatCode="&quot; &quot;&quot;$&quot;* #,##0.00&quot; &quot;;&quot; &quot;&quot;$&quot;* &quot;(&quot;#,##0.00&quot;)&quot;;&quot; &quot;&quot;$&quot;* &quot;-&quot;#&quot; &quot;;&quot; &quot;@&quot; &quot;"/>
    <numFmt numFmtId="165" formatCode="&quot; &quot;&quot;$&quot;* #,##0&quot; &quot;;&quot; &quot;&quot;$&quot;* &quot;(&quot;#,##0&quot;)&quot;;&quot; &quot;&quot;$&quot;* &quot;-&quot;#&quot; &quot;;&quot; &quot;@&quot; &quot;"/>
    <numFmt numFmtId="166" formatCode="&quot;$&quot;#,##0"/>
  </numFmts>
  <fonts count="7" x14ac:knownFonts="1"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5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F00"/>
        <bgColor rgb="FFFFFF00"/>
      </patternFill>
    </fill>
    <fill>
      <patternFill patternType="solid">
        <fgColor rgb="FF00B0F0"/>
        <bgColor rgb="FF00B0F0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164" fontId="3" fillId="0" borderId="0" applyFont="0" applyFill="0" applyBorder="0" applyAlignment="0" applyProtection="0"/>
  </cellStyleXfs>
  <cellXfs count="45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2" borderId="2" xfId="0" applyFill="1" applyBorder="1"/>
    <xf numFmtId="0" fontId="0" fillId="2" borderId="1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3" borderId="3" xfId="0" applyFill="1" applyBorder="1"/>
    <xf numFmtId="0" fontId="5" fillId="2" borderId="0" xfId="0" applyFont="1" applyFill="1"/>
    <xf numFmtId="165" fontId="5" fillId="2" borderId="0" xfId="2" applyNumberFormat="1" applyFont="1" applyFill="1"/>
    <xf numFmtId="0" fontId="0" fillId="4" borderId="3" xfId="0" applyFill="1" applyBorder="1"/>
    <xf numFmtId="0" fontId="0" fillId="2" borderId="4" xfId="0" applyFill="1" applyBorder="1"/>
    <xf numFmtId="164" fontId="3" fillId="2" borderId="0" xfId="2" applyFill="1"/>
    <xf numFmtId="0" fontId="0" fillId="2" borderId="3" xfId="0" applyFill="1" applyBorder="1"/>
    <xf numFmtId="0" fontId="0" fillId="0" borderId="3" xfId="0" applyBorder="1"/>
    <xf numFmtId="0" fontId="0" fillId="0" borderId="5" xfId="0" applyBorder="1"/>
    <xf numFmtId="7" fontId="0" fillId="5" borderId="5" xfId="0" applyNumberFormat="1" applyFill="1" applyBorder="1"/>
    <xf numFmtId="0" fontId="0" fillId="5" borderId="5" xfId="0" applyFill="1" applyBorder="1"/>
    <xf numFmtId="7" fontId="0" fillId="0" borderId="0" xfId="0" applyNumberFormat="1" applyBorder="1"/>
    <xf numFmtId="0" fontId="0" fillId="0" borderId="0" xfId="0" applyBorder="1"/>
    <xf numFmtId="0" fontId="0" fillId="5" borderId="0" xfId="0" applyFill="1" applyBorder="1"/>
    <xf numFmtId="0" fontId="0" fillId="6" borderId="5" xfId="0" applyFill="1" applyBorder="1"/>
    <xf numFmtId="7" fontId="0" fillId="7" borderId="5" xfId="0" applyNumberFormat="1" applyFill="1" applyBorder="1"/>
    <xf numFmtId="0" fontId="0" fillId="8" borderId="5" xfId="0" applyFill="1" applyBorder="1"/>
    <xf numFmtId="0" fontId="0" fillId="8" borderId="6" xfId="0" applyFill="1" applyBorder="1"/>
    <xf numFmtId="7" fontId="0" fillId="9" borderId="5" xfId="0" applyNumberFormat="1" applyFill="1" applyBorder="1"/>
    <xf numFmtId="0" fontId="2" fillId="0" borderId="5" xfId="0" applyFont="1" applyBorder="1"/>
    <xf numFmtId="0" fontId="2" fillId="0" borderId="5" xfId="0" applyFont="1" applyBorder="1" applyAlignment="1">
      <alignment horizontal="right"/>
    </xf>
    <xf numFmtId="166" fontId="0" fillId="5" borderId="5" xfId="0" applyNumberFormat="1" applyFill="1" applyBorder="1"/>
    <xf numFmtId="166" fontId="0" fillId="0" borderId="5" xfId="1" applyNumberFormat="1" applyFont="1" applyBorder="1"/>
    <xf numFmtId="166" fontId="2" fillId="0" borderId="5" xfId="1" applyNumberFormat="1" applyFont="1" applyBorder="1"/>
    <xf numFmtId="0" fontId="0" fillId="5" borderId="0" xfId="0" applyFill="1"/>
    <xf numFmtId="0" fontId="4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5" fillId="10" borderId="0" xfId="0" applyFont="1" applyFill="1" applyBorder="1" applyAlignment="1">
      <alignment horizontal="center"/>
    </xf>
    <xf numFmtId="0" fontId="0" fillId="11" borderId="5" xfId="0" applyFill="1" applyBorder="1"/>
    <xf numFmtId="0" fontId="0" fillId="12" borderId="5" xfId="0" applyFill="1" applyBorder="1"/>
    <xf numFmtId="0" fontId="0" fillId="13" borderId="5" xfId="0" applyFill="1" applyBorder="1"/>
    <xf numFmtId="0" fontId="0" fillId="14" borderId="5" xfId="0" applyFill="1" applyBorder="1"/>
    <xf numFmtId="0" fontId="6" fillId="14" borderId="5" xfId="0" applyFont="1" applyFill="1" applyBorder="1"/>
    <xf numFmtId="0" fontId="0" fillId="15" borderId="5" xfId="0" applyFill="1" applyBorder="1"/>
    <xf numFmtId="0" fontId="6" fillId="15" borderId="5" xfId="0" applyFont="1" applyFill="1" applyBorder="1"/>
    <xf numFmtId="0" fontId="2" fillId="7" borderId="5" xfId="0" applyFont="1" applyFill="1" applyBorder="1" applyAlignment="1">
      <alignment horizontal="center"/>
    </xf>
    <xf numFmtId="0" fontId="0" fillId="16" borderId="5" xfId="0" applyFill="1" applyBorder="1"/>
    <xf numFmtId="0" fontId="2" fillId="12" borderId="5" xfId="0" applyFont="1" applyFill="1" applyBorder="1" applyAlignment="1">
      <alignment horizontal="center"/>
    </xf>
  </cellXfs>
  <cellStyles count="3">
    <cellStyle name="Comma" xfId="1" builtinId="3"/>
    <cellStyle name="Currency" xfId="2" builtinId="4" customBuiltin="1"/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Payments By Plan #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Summaries!$C$5</c:f>
              <c:strCache>
                <c:ptCount val="1"/>
                <c:pt idx="0">
                  <c:v>Total Payments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Summaries!$B$6:$B$13</c:f>
              <c:strCache>
                <c:ptCount val="8"/>
                <c:pt idx="0">
                  <c:v>Plan # 1</c:v>
                </c:pt>
                <c:pt idx="1">
                  <c:v>Plan # 2</c:v>
                </c:pt>
                <c:pt idx="2">
                  <c:v>Plan # 3</c:v>
                </c:pt>
                <c:pt idx="3">
                  <c:v>Plan # 4</c:v>
                </c:pt>
                <c:pt idx="4">
                  <c:v>Plan # 5</c:v>
                </c:pt>
                <c:pt idx="5">
                  <c:v>Plan # 6</c:v>
                </c:pt>
                <c:pt idx="6">
                  <c:v>Plan # 7</c:v>
                </c:pt>
                <c:pt idx="7">
                  <c:v>All Plans</c:v>
                </c:pt>
              </c:strCache>
            </c:strRef>
          </c:cat>
          <c:val>
            <c:numRef>
              <c:f>Summaries!$C$6:$C$13</c:f>
              <c:numCache>
                <c:formatCode>"$"#,##0</c:formatCode>
                <c:ptCount val="8"/>
                <c:pt idx="0">
                  <c:v>4110000</c:v>
                </c:pt>
                <c:pt idx="1">
                  <c:v>19853000</c:v>
                </c:pt>
                <c:pt idx="2">
                  <c:v>7927200</c:v>
                </c:pt>
                <c:pt idx="3">
                  <c:v>28374000</c:v>
                </c:pt>
                <c:pt idx="4">
                  <c:v>2867000</c:v>
                </c:pt>
                <c:pt idx="5">
                  <c:v>500000.04999999993</c:v>
                </c:pt>
                <c:pt idx="6">
                  <c:v>2910000</c:v>
                </c:pt>
                <c:pt idx="7">
                  <c:v>66541200.049999997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D3-4F47-8E88-A424E1ACA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98972144"/>
        <c:axId val="1298970704"/>
      </c:barChart>
      <c:catAx>
        <c:axId val="1298972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8970704"/>
        <c:crosses val="autoZero"/>
        <c:auto val="1"/>
        <c:lblAlgn val="ctr"/>
        <c:lblOffset val="100"/>
        <c:noMultiLvlLbl val="0"/>
      </c:catAx>
      <c:valAx>
        <c:axId val="129897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8972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Payments By Year By</a:t>
            </a:r>
            <a:r>
              <a:rPr lang="en-US" baseline="0"/>
              <a:t> Plan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Summaries!$F$5</c:f>
              <c:strCache>
                <c:ptCount val="1"/>
                <c:pt idx="0">
                  <c:v>Plan #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Summaries!$E$6:$E$105</c15:sqref>
                  </c15:fullRef>
                </c:ext>
              </c:extLst>
              <c:f>(Summaries!$E$15,Summaries!$E$25,Summaries!$E$35,Summaries!$E$45,Summaries!$E$55,Summaries!$E$65,Summaries!$E$75,Summaries!$E$85,Summaries!$E$95,Summaries!$E$105)</c:f>
              <c:strCache>
                <c:ptCount val="10"/>
                <c:pt idx="0">
                  <c:v>Year # 10</c:v>
                </c:pt>
                <c:pt idx="1">
                  <c:v>Year # 20</c:v>
                </c:pt>
                <c:pt idx="2">
                  <c:v>Year # 30</c:v>
                </c:pt>
                <c:pt idx="3">
                  <c:v>Year # 40</c:v>
                </c:pt>
                <c:pt idx="4">
                  <c:v>Year # 50</c:v>
                </c:pt>
                <c:pt idx="5">
                  <c:v>Year # 60</c:v>
                </c:pt>
                <c:pt idx="6">
                  <c:v>Year # 70</c:v>
                </c:pt>
                <c:pt idx="7">
                  <c:v>Year # 80</c:v>
                </c:pt>
                <c:pt idx="8">
                  <c:v>Year # 90</c:v>
                </c:pt>
                <c:pt idx="9">
                  <c:v>Year # 100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Summaries!$F$6:$F$105</c15:sqref>
                  </c15:fullRef>
                </c:ext>
              </c:extLst>
              <c:f>(Summaries!$F$15,Summaries!$F$25,Summaries!$F$35,Summaries!$F$45,Summaries!$F$55,Summaries!$F$65,Summaries!$F$75,Summaries!$F$85,Summaries!$F$95,Summaries!$F$105)</c:f>
              <c:numCache>
                <c:formatCode>"$"#,##0</c:formatCode>
                <c:ptCount val="10"/>
                <c:pt idx="0">
                  <c:v>195000</c:v>
                </c:pt>
                <c:pt idx="1">
                  <c:v>150000</c:v>
                </c:pt>
                <c:pt idx="2">
                  <c:v>30000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FB-4B6D-9B51-803E6D0AE44A}"/>
            </c:ext>
          </c:extLst>
        </c:ser>
        <c:ser>
          <c:idx val="1"/>
          <c:order val="1"/>
          <c:tx>
            <c:strRef>
              <c:f>Summaries!$G$5</c:f>
              <c:strCache>
                <c:ptCount val="1"/>
                <c:pt idx="0">
                  <c:v>Plan #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Summaries!$E$6:$E$105</c15:sqref>
                  </c15:fullRef>
                </c:ext>
              </c:extLst>
              <c:f>(Summaries!$E$15,Summaries!$E$25,Summaries!$E$35,Summaries!$E$45,Summaries!$E$55,Summaries!$E$65,Summaries!$E$75,Summaries!$E$85,Summaries!$E$95,Summaries!$E$105)</c:f>
              <c:strCache>
                <c:ptCount val="10"/>
                <c:pt idx="0">
                  <c:v>Year # 10</c:v>
                </c:pt>
                <c:pt idx="1">
                  <c:v>Year # 20</c:v>
                </c:pt>
                <c:pt idx="2">
                  <c:v>Year # 30</c:v>
                </c:pt>
                <c:pt idx="3">
                  <c:v>Year # 40</c:v>
                </c:pt>
                <c:pt idx="4">
                  <c:v>Year # 50</c:v>
                </c:pt>
                <c:pt idx="5">
                  <c:v>Year # 60</c:v>
                </c:pt>
                <c:pt idx="6">
                  <c:v>Year # 70</c:v>
                </c:pt>
                <c:pt idx="7">
                  <c:v>Year # 80</c:v>
                </c:pt>
                <c:pt idx="8">
                  <c:v>Year # 90</c:v>
                </c:pt>
                <c:pt idx="9">
                  <c:v>Year # 100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Summaries!$G$6:$G$105</c15:sqref>
                  </c15:fullRef>
                </c:ext>
              </c:extLst>
              <c:f>(Summaries!$G$15,Summaries!$G$25,Summaries!$G$35,Summaries!$G$45,Summaries!$G$55,Summaries!$G$65,Summaries!$G$75,Summaries!$G$85,Summaries!$G$95,Summaries!$G$105)</c:f>
              <c:numCache>
                <c:formatCode>"$"#,##0</c:formatCode>
                <c:ptCount val="10"/>
                <c:pt idx="0">
                  <c:v>280000</c:v>
                </c:pt>
                <c:pt idx="1">
                  <c:v>541000</c:v>
                </c:pt>
                <c:pt idx="2">
                  <c:v>579000</c:v>
                </c:pt>
                <c:pt idx="3">
                  <c:v>372000</c:v>
                </c:pt>
                <c:pt idx="4">
                  <c:v>101000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FB-4B6D-9B51-803E6D0AE44A}"/>
            </c:ext>
          </c:extLst>
        </c:ser>
        <c:ser>
          <c:idx val="2"/>
          <c:order val="2"/>
          <c:tx>
            <c:strRef>
              <c:f>Summaries!$H$5</c:f>
              <c:strCache>
                <c:ptCount val="1"/>
                <c:pt idx="0">
                  <c:v>Plan # 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Summaries!$E$6:$E$105</c15:sqref>
                  </c15:fullRef>
                </c:ext>
              </c:extLst>
              <c:f>(Summaries!$E$15,Summaries!$E$25,Summaries!$E$35,Summaries!$E$45,Summaries!$E$55,Summaries!$E$65,Summaries!$E$75,Summaries!$E$85,Summaries!$E$95,Summaries!$E$105)</c:f>
              <c:strCache>
                <c:ptCount val="10"/>
                <c:pt idx="0">
                  <c:v>Year # 10</c:v>
                </c:pt>
                <c:pt idx="1">
                  <c:v>Year # 20</c:v>
                </c:pt>
                <c:pt idx="2">
                  <c:v>Year # 30</c:v>
                </c:pt>
                <c:pt idx="3">
                  <c:v>Year # 40</c:v>
                </c:pt>
                <c:pt idx="4">
                  <c:v>Year # 50</c:v>
                </c:pt>
                <c:pt idx="5">
                  <c:v>Year # 60</c:v>
                </c:pt>
                <c:pt idx="6">
                  <c:v>Year # 70</c:v>
                </c:pt>
                <c:pt idx="7">
                  <c:v>Year # 80</c:v>
                </c:pt>
                <c:pt idx="8">
                  <c:v>Year # 90</c:v>
                </c:pt>
                <c:pt idx="9">
                  <c:v>Year # 100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Summaries!$H$6:$H$105</c15:sqref>
                  </c15:fullRef>
                </c:ext>
              </c:extLst>
              <c:f>(Summaries!$H$15,Summaries!$H$25,Summaries!$H$35,Summaries!$H$45,Summaries!$H$55,Summaries!$H$65,Summaries!$H$75,Summaries!$H$85,Summaries!$H$95,Summaries!$H$105)</c:f>
              <c:numCache>
                <c:formatCode>"$"#,##0</c:formatCode>
                <c:ptCount val="10"/>
                <c:pt idx="0">
                  <c:v>86400</c:v>
                </c:pt>
                <c:pt idx="1">
                  <c:v>165600</c:v>
                </c:pt>
                <c:pt idx="2">
                  <c:v>165600</c:v>
                </c:pt>
                <c:pt idx="3">
                  <c:v>165600</c:v>
                </c:pt>
                <c:pt idx="4">
                  <c:v>108000</c:v>
                </c:pt>
                <c:pt idx="5">
                  <c:v>64800</c:v>
                </c:pt>
                <c:pt idx="6">
                  <c:v>21600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FB-4B6D-9B51-803E6D0AE44A}"/>
            </c:ext>
          </c:extLst>
        </c:ser>
        <c:ser>
          <c:idx val="3"/>
          <c:order val="3"/>
          <c:tx>
            <c:strRef>
              <c:f>Summaries!$I$5</c:f>
              <c:strCache>
                <c:ptCount val="1"/>
                <c:pt idx="0">
                  <c:v>Plan # 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Summaries!$E$6:$E$105</c15:sqref>
                  </c15:fullRef>
                </c:ext>
              </c:extLst>
              <c:f>(Summaries!$E$15,Summaries!$E$25,Summaries!$E$35,Summaries!$E$45,Summaries!$E$55,Summaries!$E$65,Summaries!$E$75,Summaries!$E$85,Summaries!$E$95,Summaries!$E$105)</c:f>
              <c:strCache>
                <c:ptCount val="10"/>
                <c:pt idx="0">
                  <c:v>Year # 10</c:v>
                </c:pt>
                <c:pt idx="1">
                  <c:v>Year # 20</c:v>
                </c:pt>
                <c:pt idx="2">
                  <c:v>Year # 30</c:v>
                </c:pt>
                <c:pt idx="3">
                  <c:v>Year # 40</c:v>
                </c:pt>
                <c:pt idx="4">
                  <c:v>Year # 50</c:v>
                </c:pt>
                <c:pt idx="5">
                  <c:v>Year # 60</c:v>
                </c:pt>
                <c:pt idx="6">
                  <c:v>Year # 70</c:v>
                </c:pt>
                <c:pt idx="7">
                  <c:v>Year # 80</c:v>
                </c:pt>
                <c:pt idx="8">
                  <c:v>Year # 90</c:v>
                </c:pt>
                <c:pt idx="9">
                  <c:v>Year # 100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Summaries!$I$6:$I$105</c15:sqref>
                  </c15:fullRef>
                </c:ext>
              </c:extLst>
              <c:f>(Summaries!$I$15,Summaries!$I$25,Summaries!$I$35,Summaries!$I$45,Summaries!$I$55,Summaries!$I$65,Summaries!$I$75,Summaries!$I$85,Summaries!$I$95,Summaries!$I$105)</c:f>
              <c:numCache>
                <c:formatCode>"$"#,##0</c:formatCode>
                <c:ptCount val="10"/>
                <c:pt idx="0">
                  <c:v>391000</c:v>
                </c:pt>
                <c:pt idx="1">
                  <c:v>654000</c:v>
                </c:pt>
                <c:pt idx="2">
                  <c:v>744000</c:v>
                </c:pt>
                <c:pt idx="3">
                  <c:v>731000</c:v>
                </c:pt>
                <c:pt idx="4">
                  <c:v>293000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4FB-4B6D-9B51-803E6D0AE44A}"/>
            </c:ext>
          </c:extLst>
        </c:ser>
        <c:ser>
          <c:idx val="4"/>
          <c:order val="4"/>
          <c:tx>
            <c:strRef>
              <c:f>Summaries!$J$5</c:f>
              <c:strCache>
                <c:ptCount val="1"/>
                <c:pt idx="0">
                  <c:v>Plan # 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Summaries!$E$6:$E$105</c15:sqref>
                  </c15:fullRef>
                </c:ext>
              </c:extLst>
              <c:f>(Summaries!$E$15,Summaries!$E$25,Summaries!$E$35,Summaries!$E$45,Summaries!$E$55,Summaries!$E$65,Summaries!$E$75,Summaries!$E$85,Summaries!$E$95,Summaries!$E$105)</c:f>
              <c:strCache>
                <c:ptCount val="10"/>
                <c:pt idx="0">
                  <c:v>Year # 10</c:v>
                </c:pt>
                <c:pt idx="1">
                  <c:v>Year # 20</c:v>
                </c:pt>
                <c:pt idx="2">
                  <c:v>Year # 30</c:v>
                </c:pt>
                <c:pt idx="3">
                  <c:v>Year # 40</c:v>
                </c:pt>
                <c:pt idx="4">
                  <c:v>Year # 50</c:v>
                </c:pt>
                <c:pt idx="5">
                  <c:v>Year # 60</c:v>
                </c:pt>
                <c:pt idx="6">
                  <c:v>Year # 70</c:v>
                </c:pt>
                <c:pt idx="7">
                  <c:v>Year # 80</c:v>
                </c:pt>
                <c:pt idx="8">
                  <c:v>Year # 90</c:v>
                </c:pt>
                <c:pt idx="9">
                  <c:v>Year # 100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Summaries!$J$6:$J$105</c15:sqref>
                  </c15:fullRef>
                </c:ext>
              </c:extLst>
              <c:f>(Summaries!$J$15,Summaries!$J$25,Summaries!$J$35,Summaries!$J$45,Summaries!$J$55,Summaries!$J$65,Summaries!$J$75,Summaries!$J$85,Summaries!$J$95,Summaries!$J$105)</c:f>
              <c:numCache>
                <c:formatCode>"$"#,##0</c:formatCode>
                <c:ptCount val="10"/>
                <c:pt idx="0">
                  <c:v>95000</c:v>
                </c:pt>
                <c:pt idx="1">
                  <c:v>144000</c:v>
                </c:pt>
                <c:pt idx="2">
                  <c:v>25000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4FB-4B6D-9B51-803E6D0AE44A}"/>
            </c:ext>
          </c:extLst>
        </c:ser>
        <c:ser>
          <c:idx val="5"/>
          <c:order val="5"/>
          <c:tx>
            <c:strRef>
              <c:f>Summaries!$K$5</c:f>
              <c:strCache>
                <c:ptCount val="1"/>
                <c:pt idx="0">
                  <c:v>Plan # 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Summaries!$E$6:$E$105</c15:sqref>
                  </c15:fullRef>
                </c:ext>
              </c:extLst>
              <c:f>(Summaries!$E$15,Summaries!$E$25,Summaries!$E$35,Summaries!$E$45,Summaries!$E$55,Summaries!$E$65,Summaries!$E$75,Summaries!$E$85,Summaries!$E$95,Summaries!$E$105)</c:f>
              <c:strCache>
                <c:ptCount val="10"/>
                <c:pt idx="0">
                  <c:v>Year # 10</c:v>
                </c:pt>
                <c:pt idx="1">
                  <c:v>Year # 20</c:v>
                </c:pt>
                <c:pt idx="2">
                  <c:v>Year # 30</c:v>
                </c:pt>
                <c:pt idx="3">
                  <c:v>Year # 40</c:v>
                </c:pt>
                <c:pt idx="4">
                  <c:v>Year # 50</c:v>
                </c:pt>
                <c:pt idx="5">
                  <c:v>Year # 60</c:v>
                </c:pt>
                <c:pt idx="6">
                  <c:v>Year # 70</c:v>
                </c:pt>
                <c:pt idx="7">
                  <c:v>Year # 80</c:v>
                </c:pt>
                <c:pt idx="8">
                  <c:v>Year # 90</c:v>
                </c:pt>
                <c:pt idx="9">
                  <c:v>Year # 100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Summaries!$K$6:$K$105</c15:sqref>
                  </c15:fullRef>
                </c:ext>
              </c:extLst>
              <c:f>(Summaries!$K$15,Summaries!$K$25,Summaries!$K$35,Summaries!$K$45,Summaries!$K$55,Summaries!$K$65,Summaries!$K$75,Summaries!$K$85,Summaries!$K$95,Summaries!$K$105)</c:f>
              <c:numCache>
                <c:formatCode>"$"#,##0</c:formatCode>
                <c:ptCount val="10"/>
                <c:pt idx="0">
                  <c:v>10000</c:v>
                </c:pt>
                <c:pt idx="1">
                  <c:v>29841.27</c:v>
                </c:pt>
                <c:pt idx="2">
                  <c:v>5555.56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4FB-4B6D-9B51-803E6D0AE44A}"/>
            </c:ext>
          </c:extLst>
        </c:ser>
        <c:ser>
          <c:idx val="6"/>
          <c:order val="6"/>
          <c:tx>
            <c:strRef>
              <c:f>Summaries!$L$5</c:f>
              <c:strCache>
                <c:ptCount val="1"/>
                <c:pt idx="0">
                  <c:v>Plan # 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Summaries!$E$6:$E$105</c15:sqref>
                  </c15:fullRef>
                </c:ext>
              </c:extLst>
              <c:f>(Summaries!$E$15,Summaries!$E$25,Summaries!$E$35,Summaries!$E$45,Summaries!$E$55,Summaries!$E$65,Summaries!$E$75,Summaries!$E$85,Summaries!$E$95,Summaries!$E$105)</c:f>
              <c:strCache>
                <c:ptCount val="10"/>
                <c:pt idx="0">
                  <c:v>Year # 10</c:v>
                </c:pt>
                <c:pt idx="1">
                  <c:v>Year # 20</c:v>
                </c:pt>
                <c:pt idx="2">
                  <c:v>Year # 30</c:v>
                </c:pt>
                <c:pt idx="3">
                  <c:v>Year # 40</c:v>
                </c:pt>
                <c:pt idx="4">
                  <c:v>Year # 50</c:v>
                </c:pt>
                <c:pt idx="5">
                  <c:v>Year # 60</c:v>
                </c:pt>
                <c:pt idx="6">
                  <c:v>Year # 70</c:v>
                </c:pt>
                <c:pt idx="7">
                  <c:v>Year # 80</c:v>
                </c:pt>
                <c:pt idx="8">
                  <c:v>Year # 90</c:v>
                </c:pt>
                <c:pt idx="9">
                  <c:v>Year # 100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Summaries!$L$6:$L$105</c15:sqref>
                  </c15:fullRef>
                </c:ext>
              </c:extLst>
              <c:f>(Summaries!$L$15,Summaries!$L$25,Summaries!$L$35,Summaries!$L$45,Summaries!$L$55,Summaries!$L$65,Summaries!$L$75,Summaries!$L$85,Summaries!$L$95,Summaries!$L$105)</c:f>
              <c:numCache>
                <c:formatCode>"$"#,##0</c:formatCode>
                <c:ptCount val="10"/>
                <c:pt idx="0">
                  <c:v>120000</c:v>
                </c:pt>
                <c:pt idx="1">
                  <c:v>90000</c:v>
                </c:pt>
                <c:pt idx="2">
                  <c:v>30000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4FB-4B6D-9B51-803E6D0AE4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7594720"/>
        <c:axId val="837596160"/>
      </c:lineChart>
      <c:catAx>
        <c:axId val="837594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7596160"/>
        <c:crosses val="autoZero"/>
        <c:auto val="1"/>
        <c:lblAlgn val="ctr"/>
        <c:lblOffset val="100"/>
        <c:noMultiLvlLbl val="0"/>
      </c:catAx>
      <c:valAx>
        <c:axId val="837596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7594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Payments</a:t>
            </a:r>
            <a:r>
              <a:rPr lang="en-US" baseline="0"/>
              <a:t> By Year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Summaries!$E$6:$E$105</c15:sqref>
                  </c15:fullRef>
                </c:ext>
              </c:extLst>
              <c:f>(Summaries!$E$10,Summaries!$E$15,Summaries!$E$20,Summaries!$E$25,Summaries!$E$30,Summaries!$E$35,Summaries!$E$40,Summaries!$E$45,Summaries!$E$50,Summaries!$E$55,Summaries!$E$60,Summaries!$E$65,Summaries!$E$70,Summaries!$E$75,Summaries!$E$80,Summaries!$E$85,Summaries!$E$90,Summaries!$E$95,Summaries!$E$100,Summaries!$E$105)</c:f>
              <c:strCache>
                <c:ptCount val="20"/>
                <c:pt idx="0">
                  <c:v>Year # 5</c:v>
                </c:pt>
                <c:pt idx="1">
                  <c:v>Year # 10</c:v>
                </c:pt>
                <c:pt idx="2">
                  <c:v>Year # 15</c:v>
                </c:pt>
                <c:pt idx="3">
                  <c:v>Year # 20</c:v>
                </c:pt>
                <c:pt idx="4">
                  <c:v>Year # 25</c:v>
                </c:pt>
                <c:pt idx="5">
                  <c:v>Year # 30</c:v>
                </c:pt>
                <c:pt idx="6">
                  <c:v>Year # 35</c:v>
                </c:pt>
                <c:pt idx="7">
                  <c:v>Year # 40</c:v>
                </c:pt>
                <c:pt idx="8">
                  <c:v>Year # 45</c:v>
                </c:pt>
                <c:pt idx="9">
                  <c:v>Year # 50</c:v>
                </c:pt>
                <c:pt idx="10">
                  <c:v>Year # 55</c:v>
                </c:pt>
                <c:pt idx="11">
                  <c:v>Year # 60</c:v>
                </c:pt>
                <c:pt idx="12">
                  <c:v>Year # 65</c:v>
                </c:pt>
                <c:pt idx="13">
                  <c:v>Year # 70</c:v>
                </c:pt>
                <c:pt idx="14">
                  <c:v>Year # 75</c:v>
                </c:pt>
                <c:pt idx="15">
                  <c:v>Year # 80</c:v>
                </c:pt>
                <c:pt idx="16">
                  <c:v>Year # 85</c:v>
                </c:pt>
                <c:pt idx="17">
                  <c:v>Year # 90</c:v>
                </c:pt>
                <c:pt idx="18">
                  <c:v>Year # 95</c:v>
                </c:pt>
                <c:pt idx="19">
                  <c:v>Year # 100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Summaries!$M$6:$M$105</c15:sqref>
                  </c15:fullRef>
                </c:ext>
              </c:extLst>
              <c:f>(Summaries!$M$10,Summaries!$M$15,Summaries!$M$20,Summaries!$M$25,Summaries!$M$30,Summaries!$M$35,Summaries!$M$40,Summaries!$M$45,Summaries!$M$50,Summaries!$M$55,Summaries!$M$60,Summaries!$M$65,Summaries!$M$70,Summaries!$M$75,Summaries!$M$80,Summaries!$M$85,Summaries!$M$90,Summaries!$M$95,Summaries!$M$100,Summaries!$M$105)</c:f>
              <c:numCache>
                <c:formatCode>"$"#,##0</c:formatCode>
                <c:ptCount val="20"/>
                <c:pt idx="0">
                  <c:v>706800</c:v>
                </c:pt>
                <c:pt idx="1">
                  <c:v>1177400</c:v>
                </c:pt>
                <c:pt idx="2">
                  <c:v>1771241.27</c:v>
                </c:pt>
                <c:pt idx="3">
                  <c:v>1774441.27</c:v>
                </c:pt>
                <c:pt idx="4">
                  <c:v>1767155.56</c:v>
                </c:pt>
                <c:pt idx="5">
                  <c:v>1579155.56</c:v>
                </c:pt>
                <c:pt idx="6">
                  <c:v>1546600</c:v>
                </c:pt>
                <c:pt idx="7">
                  <c:v>1268600</c:v>
                </c:pt>
                <c:pt idx="8">
                  <c:v>1003800</c:v>
                </c:pt>
                <c:pt idx="9">
                  <c:v>502000</c:v>
                </c:pt>
                <c:pt idx="10">
                  <c:v>79200</c:v>
                </c:pt>
                <c:pt idx="11">
                  <c:v>64800</c:v>
                </c:pt>
                <c:pt idx="12">
                  <c:v>36000</c:v>
                </c:pt>
                <c:pt idx="13">
                  <c:v>21600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55-4516-BB72-D7287B224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5974608"/>
        <c:axId val="845975088"/>
      </c:lineChart>
      <c:catAx>
        <c:axId val="84597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975088"/>
        <c:crosses val="autoZero"/>
        <c:auto val="1"/>
        <c:lblAlgn val="ctr"/>
        <c:lblOffset val="100"/>
        <c:noMultiLvlLbl val="0"/>
      </c:catAx>
      <c:valAx>
        <c:axId val="84597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974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0</xdr:row>
      <xdr:rowOff>117475</xdr:rowOff>
    </xdr:from>
    <xdr:to>
      <xdr:col>5</xdr:col>
      <xdr:colOff>517525</xdr:colOff>
      <xdr:row>12</xdr:row>
      <xdr:rowOff>69850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40D91E0-4FAE-4122-B4F0-F4B59C3A03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587375</xdr:colOff>
      <xdr:row>0</xdr:row>
      <xdr:rowOff>127000</xdr:rowOff>
    </xdr:from>
    <xdr:to>
      <xdr:col>11</xdr:col>
      <xdr:colOff>171450</xdr:colOff>
      <xdr:row>13</xdr:row>
      <xdr:rowOff>88900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69E087E-C340-43FE-8B96-EEBBEB6F49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244475</xdr:colOff>
      <xdr:row>0</xdr:row>
      <xdr:rowOff>117475</xdr:rowOff>
    </xdr:from>
    <xdr:to>
      <xdr:col>17</xdr:col>
      <xdr:colOff>88900</xdr:colOff>
      <xdr:row>12</xdr:row>
      <xdr:rowOff>171450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FCB0E04-3D72-47CC-A1F0-56E28C3021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6"/>
  <sheetViews>
    <sheetView topLeftCell="A32" workbookViewId="0">
      <selection activeCell="B7" sqref="B7"/>
    </sheetView>
  </sheetViews>
  <sheetFormatPr defaultRowHeight="14.75" x14ac:dyDescent="0.75"/>
  <cols>
    <col min="1" max="1" width="8.7265625" style="13" customWidth="1"/>
    <col min="2" max="2" width="17.31640625" style="13" bestFit="1" customWidth="1"/>
    <col min="3" max="5" width="8.7265625" style="13" customWidth="1"/>
    <col min="6" max="6" width="20.5" style="13" bestFit="1" customWidth="1"/>
    <col min="7" max="7" width="8.7265625" style="13" customWidth="1"/>
    <col min="8" max="8" width="19.7265625" style="13" bestFit="1" customWidth="1"/>
    <col min="9" max="9" width="8.7265625" style="13" customWidth="1"/>
    <col min="10" max="10" width="8.7265625" customWidth="1"/>
  </cols>
  <sheetData>
    <row r="1" spans="1:9" x14ac:dyDescent="0.75">
      <c r="A1" s="1"/>
      <c r="B1" s="1"/>
      <c r="C1" s="1"/>
      <c r="D1" s="1"/>
      <c r="E1" s="1"/>
      <c r="F1" s="1"/>
      <c r="G1" s="1"/>
      <c r="H1" s="1"/>
      <c r="I1" s="2"/>
    </row>
    <row r="2" spans="1:9" ht="19.75" x14ac:dyDescent="0.95">
      <c r="A2" s="3"/>
      <c r="B2" s="31" t="s">
        <v>0</v>
      </c>
      <c r="C2" s="31"/>
      <c r="D2" s="31"/>
      <c r="E2" s="31"/>
      <c r="F2" s="31"/>
      <c r="G2" s="31"/>
      <c r="H2" s="31"/>
      <c r="I2" s="31"/>
    </row>
    <row r="3" spans="1:9" x14ac:dyDescent="0.75">
      <c r="A3" s="3"/>
      <c r="B3" s="32" t="s">
        <v>1</v>
      </c>
      <c r="C3" s="32"/>
      <c r="D3" s="32"/>
      <c r="E3" s="32"/>
      <c r="F3" s="32"/>
      <c r="G3" s="32"/>
      <c r="H3" s="32"/>
      <c r="I3" s="32"/>
    </row>
    <row r="4" spans="1:9" x14ac:dyDescent="0.75">
      <c r="A4" s="3"/>
      <c r="B4" s="5"/>
      <c r="C4" s="5"/>
      <c r="D4" s="5"/>
      <c r="E4" s="5"/>
      <c r="F4" s="5"/>
      <c r="G4" s="5"/>
      <c r="H4" s="5"/>
      <c r="I4" s="4"/>
    </row>
    <row r="5" spans="1:9" x14ac:dyDescent="0.75">
      <c r="A5" s="3"/>
      <c r="B5" s="6" t="s">
        <v>2</v>
      </c>
      <c r="C5" s="1"/>
      <c r="D5" s="7" t="s">
        <v>3</v>
      </c>
      <c r="E5" s="7" t="s">
        <v>4</v>
      </c>
      <c r="F5" s="8" t="s">
        <v>5</v>
      </c>
      <c r="G5" s="1"/>
      <c r="H5" s="9" t="s">
        <v>6</v>
      </c>
      <c r="I5" s="2"/>
    </row>
    <row r="6" spans="1:9" x14ac:dyDescent="0.75">
      <c r="A6" s="3"/>
      <c r="B6" s="10" t="s">
        <v>15</v>
      </c>
      <c r="C6" s="1"/>
      <c r="D6" s="1">
        <f>B9</f>
        <v>61</v>
      </c>
      <c r="E6" s="1">
        <v>1</v>
      </c>
      <c r="F6" s="11">
        <f>_xlfn.IFNA(IF(E6="","",HLOOKUP($B$6,Plan_Calculations!$F$2:$L$75,E6+1,FALSE)),"Something is wrong")</f>
        <v>0</v>
      </c>
      <c r="G6" s="1"/>
      <c r="H6" s="10">
        <f>SUM(F6:F105)</f>
        <v>1185000</v>
      </c>
      <c r="I6" s="2"/>
    </row>
    <row r="7" spans="1:9" x14ac:dyDescent="0.75">
      <c r="A7" s="3"/>
      <c r="B7" s="1"/>
      <c r="C7" s="1"/>
      <c r="D7" s="1">
        <f t="shared" ref="D7:D38" si="0">IF(E7="","",D6+1)</f>
        <v>62</v>
      </c>
      <c r="E7" s="1">
        <f t="shared" ref="E7:E38" si="1">IF(E6="","",IF($B$9+E6-1&gt;=110,"",E6+1))</f>
        <v>2</v>
      </c>
      <c r="F7" s="11">
        <f>_xlfn.IFNA(IF(E7="","",HLOOKUP($B$6,Plan_Calculations!$F$2:$L$75,E7+1,FALSE)),"Something is wrong")</f>
        <v>0</v>
      </c>
      <c r="G7" s="1"/>
      <c r="H7" s="1"/>
      <c r="I7" s="2"/>
    </row>
    <row r="8" spans="1:9" x14ac:dyDescent="0.75">
      <c r="A8" s="3"/>
      <c r="B8" s="6" t="s">
        <v>8</v>
      </c>
      <c r="C8" s="1"/>
      <c r="D8" s="1">
        <f t="shared" si="0"/>
        <v>63</v>
      </c>
      <c r="E8" s="1">
        <f t="shared" si="1"/>
        <v>3</v>
      </c>
      <c r="F8" s="11">
        <f>_xlfn.IFNA(IF(E8="","",HLOOKUP($B$6,Plan_Calculations!$F$2:$L$75,E8+1,FALSE)),"Something is wrong")</f>
        <v>0</v>
      </c>
      <c r="G8" s="1"/>
      <c r="H8" s="9" t="s">
        <v>9</v>
      </c>
      <c r="I8" s="2"/>
    </row>
    <row r="9" spans="1:9" x14ac:dyDescent="0.75">
      <c r="A9" s="3"/>
      <c r="B9" s="12">
        <v>61</v>
      </c>
      <c r="C9" s="1"/>
      <c r="D9" s="1">
        <f t="shared" si="0"/>
        <v>64</v>
      </c>
      <c r="E9" s="1">
        <f t="shared" si="1"/>
        <v>4</v>
      </c>
      <c r="F9" s="11">
        <f>_xlfn.IFNA(IF(E9="","",HLOOKUP($B$6,Plan_Calculations!$F$2:$L$75,E9+1,FALSE)),"Something is wrong")</f>
        <v>0</v>
      </c>
      <c r="G9" s="1"/>
      <c r="H9" s="12">
        <f>COUNTIF(F6:F105, "&gt;0")</f>
        <v>30</v>
      </c>
      <c r="I9" s="2"/>
    </row>
    <row r="10" spans="1:9" x14ac:dyDescent="0.75">
      <c r="A10" s="3"/>
      <c r="B10" s="1"/>
      <c r="C10" s="1"/>
      <c r="D10" s="1">
        <f t="shared" si="0"/>
        <v>65</v>
      </c>
      <c r="E10" s="1">
        <f t="shared" si="1"/>
        <v>5</v>
      </c>
      <c r="F10" s="11">
        <f>_xlfn.IFNA(IF(E10="","",HLOOKUP($B$6,Plan_Calculations!$F$2:$L$75,E10+1,FALSE)),"Something is wrong")</f>
        <v>25000</v>
      </c>
      <c r="G10" s="1"/>
      <c r="H10" s="1"/>
      <c r="I10" s="2"/>
    </row>
    <row r="11" spans="1:9" x14ac:dyDescent="0.75">
      <c r="A11" s="3"/>
      <c r="B11" s="6" t="s">
        <v>10</v>
      </c>
      <c r="C11" s="1"/>
      <c r="D11" s="1">
        <f t="shared" si="0"/>
        <v>66</v>
      </c>
      <c r="E11" s="1">
        <f t="shared" si="1"/>
        <v>6</v>
      </c>
      <c r="F11" s="11">
        <f>_xlfn.IFNA(IF(E11="","",HLOOKUP($B$6,Plan_Calculations!$F$2:$L$75,E11+1,FALSE)),"Something is wrong")</f>
        <v>26000</v>
      </c>
      <c r="G11" s="1"/>
      <c r="H11" s="9" t="s">
        <v>11</v>
      </c>
      <c r="I11" s="2"/>
    </row>
    <row r="12" spans="1:9" x14ac:dyDescent="0.75">
      <c r="A12" s="3"/>
      <c r="B12" s="12">
        <v>70</v>
      </c>
      <c r="C12" s="1"/>
      <c r="D12" s="1">
        <f t="shared" si="0"/>
        <v>67</v>
      </c>
      <c r="E12" s="1">
        <f t="shared" si="1"/>
        <v>7</v>
      </c>
      <c r="F12" s="11">
        <f>_xlfn.IFNA(IF(E12="","",HLOOKUP($B$6,Plan_Calculations!$F$2:$L$75,E12+1,FALSE)),"Something is wrong")</f>
        <v>27000</v>
      </c>
      <c r="G12" s="1"/>
      <c r="H12" s="12">
        <f>IF(OR(B6="Plan # 1", B6="plan # 5", B6="plan # 6", B6="plan # 7"), B12+B15-1, IF(B6="Plan # 2", 94, IF(B6="Plan # 3", 110, 100)))</f>
        <v>94</v>
      </c>
      <c r="I12" s="2"/>
    </row>
    <row r="13" spans="1:9" x14ac:dyDescent="0.75">
      <c r="A13" s="3"/>
      <c r="B13" s="1"/>
      <c r="C13" s="1"/>
      <c r="D13" s="1">
        <f t="shared" si="0"/>
        <v>68</v>
      </c>
      <c r="E13" s="1">
        <f t="shared" si="1"/>
        <v>8</v>
      </c>
      <c r="F13" s="11">
        <f>_xlfn.IFNA(IF(E13="","",HLOOKUP($B$6,Plan_Calculations!$F$2:$L$75,E13+1,FALSE)),"Something is wrong")</f>
        <v>28000</v>
      </c>
      <c r="G13" s="1"/>
      <c r="H13" s="1"/>
      <c r="I13" s="2"/>
    </row>
    <row r="14" spans="1:9" x14ac:dyDescent="0.75">
      <c r="A14" s="3"/>
      <c r="B14" s="6" t="s">
        <v>12</v>
      </c>
      <c r="C14" s="1"/>
      <c r="D14" s="1">
        <f t="shared" si="0"/>
        <v>69</v>
      </c>
      <c r="E14" s="1">
        <f t="shared" si="1"/>
        <v>9</v>
      </c>
      <c r="F14" s="11">
        <f>_xlfn.IFNA(IF(E14="","",HLOOKUP($B$6,Plan_Calculations!$F$2:$L$75,E14+1,FALSE)),"Something is wrong")</f>
        <v>29000</v>
      </c>
      <c r="G14" s="1"/>
      <c r="H14" s="1"/>
      <c r="I14" s="2"/>
    </row>
    <row r="15" spans="1:9" x14ac:dyDescent="0.75">
      <c r="A15" s="3"/>
      <c r="B15" s="12">
        <v>10</v>
      </c>
      <c r="C15" s="1"/>
      <c r="D15" s="1">
        <f t="shared" si="0"/>
        <v>70</v>
      </c>
      <c r="E15" s="1">
        <f t="shared" si="1"/>
        <v>10</v>
      </c>
      <c r="F15" s="11">
        <f>_xlfn.IFNA(IF(E15="","",HLOOKUP($B$6,Plan_Calculations!$F$2:$L$75,E15+1,FALSE)),"Something is wrong")</f>
        <v>30000</v>
      </c>
      <c r="G15" s="1"/>
      <c r="H15" s="1"/>
      <c r="I15" s="2"/>
    </row>
    <row r="16" spans="1:9" x14ac:dyDescent="0.75">
      <c r="A16" s="3"/>
      <c r="B16" s="1"/>
      <c r="C16" s="1"/>
      <c r="D16" s="1">
        <f t="shared" si="0"/>
        <v>71</v>
      </c>
      <c r="E16" s="1">
        <f t="shared" si="1"/>
        <v>11</v>
      </c>
      <c r="F16" s="11">
        <f>_xlfn.IFNA(IF(E16="","",HLOOKUP($B$6,Plan_Calculations!$F$2:$L$75,E16+1,FALSE)),"Something is wrong")</f>
        <v>31000</v>
      </c>
      <c r="G16" s="1"/>
      <c r="H16" s="1"/>
      <c r="I16" s="2"/>
    </row>
    <row r="17" spans="1:9" x14ac:dyDescent="0.75">
      <c r="A17" s="3"/>
      <c r="B17" s="1"/>
      <c r="C17" s="1"/>
      <c r="D17" s="1">
        <f t="shared" si="0"/>
        <v>72</v>
      </c>
      <c r="E17" s="1">
        <f t="shared" si="1"/>
        <v>12</v>
      </c>
      <c r="F17" s="11">
        <f>_xlfn.IFNA(IF(E17="","",HLOOKUP($B$6,Plan_Calculations!$F$2:$L$75,E17+1,FALSE)),"Something is wrong")</f>
        <v>32000</v>
      </c>
      <c r="G17" s="1"/>
      <c r="H17" s="1"/>
      <c r="I17" s="2"/>
    </row>
    <row r="18" spans="1:9" x14ac:dyDescent="0.75">
      <c r="A18" s="3"/>
      <c r="B18" s="1"/>
      <c r="C18" s="1"/>
      <c r="D18" s="1">
        <f t="shared" si="0"/>
        <v>73</v>
      </c>
      <c r="E18" s="1">
        <f t="shared" si="1"/>
        <v>13</v>
      </c>
      <c r="F18" s="11">
        <f>_xlfn.IFNA(IF(E18="","",HLOOKUP($B$6,Plan_Calculations!$F$2:$L$75,E18+1,FALSE)),"Something is wrong")</f>
        <v>33000</v>
      </c>
      <c r="G18" s="1"/>
      <c r="H18" s="1"/>
      <c r="I18" s="2"/>
    </row>
    <row r="19" spans="1:9" x14ac:dyDescent="0.75">
      <c r="A19" s="3"/>
      <c r="B19" s="1"/>
      <c r="C19" s="1"/>
      <c r="D19" s="1">
        <f t="shared" si="0"/>
        <v>74</v>
      </c>
      <c r="E19" s="1">
        <f t="shared" si="1"/>
        <v>14</v>
      </c>
      <c r="F19" s="11">
        <f>_xlfn.IFNA(IF(E19="","",HLOOKUP($B$6,Plan_Calculations!$F$2:$L$75,E19+1,FALSE)),"Something is wrong")</f>
        <v>34000</v>
      </c>
      <c r="G19" s="1"/>
      <c r="H19" s="1"/>
      <c r="I19" s="2"/>
    </row>
    <row r="20" spans="1:9" x14ac:dyDescent="0.75">
      <c r="A20" s="3"/>
      <c r="B20" s="1"/>
      <c r="C20" s="1"/>
      <c r="D20" s="1">
        <f t="shared" si="0"/>
        <v>75</v>
      </c>
      <c r="E20" s="1">
        <f t="shared" si="1"/>
        <v>15</v>
      </c>
      <c r="F20" s="11">
        <f>_xlfn.IFNA(IF(E20="","",HLOOKUP($B$6,Plan_Calculations!$F$2:$L$75,E20+1,FALSE)),"Something is wrong")</f>
        <v>35000</v>
      </c>
      <c r="G20" s="1"/>
      <c r="H20" s="1"/>
      <c r="I20" s="2"/>
    </row>
    <row r="21" spans="1:9" x14ac:dyDescent="0.75">
      <c r="A21" s="3"/>
      <c r="B21" s="1"/>
      <c r="C21" s="1"/>
      <c r="D21" s="1">
        <f t="shared" si="0"/>
        <v>76</v>
      </c>
      <c r="E21" s="1">
        <f t="shared" si="1"/>
        <v>16</v>
      </c>
      <c r="F21" s="11">
        <f>_xlfn.IFNA(IF(E21="","",HLOOKUP($B$6,Plan_Calculations!$F$2:$L$75,E21+1,FALSE)),"Something is wrong")</f>
        <v>36000</v>
      </c>
      <c r="G21" s="1"/>
      <c r="H21" s="1"/>
      <c r="I21" s="2"/>
    </row>
    <row r="22" spans="1:9" x14ac:dyDescent="0.75">
      <c r="A22" s="3"/>
      <c r="B22" s="1"/>
      <c r="C22" s="1"/>
      <c r="D22" s="1">
        <f t="shared" si="0"/>
        <v>77</v>
      </c>
      <c r="E22" s="1">
        <f t="shared" si="1"/>
        <v>17</v>
      </c>
      <c r="F22" s="11">
        <f>_xlfn.IFNA(IF(E22="","",HLOOKUP($B$6,Plan_Calculations!$F$2:$L$75,E22+1,FALSE)),"Something is wrong")</f>
        <v>37000</v>
      </c>
      <c r="G22" s="1"/>
      <c r="H22" s="1"/>
      <c r="I22" s="2"/>
    </row>
    <row r="23" spans="1:9" x14ac:dyDescent="0.75">
      <c r="A23" s="3"/>
      <c r="B23" s="1"/>
      <c r="C23" s="1"/>
      <c r="D23" s="1">
        <f t="shared" si="0"/>
        <v>78</v>
      </c>
      <c r="E23" s="1">
        <f t="shared" si="1"/>
        <v>18</v>
      </c>
      <c r="F23" s="11">
        <f>_xlfn.IFNA(IF(E23="","",HLOOKUP($B$6,Plan_Calculations!$F$2:$L$75,E23+1,FALSE)),"Something is wrong")</f>
        <v>38000</v>
      </c>
      <c r="G23" s="1"/>
      <c r="H23" s="1"/>
      <c r="I23" s="2"/>
    </row>
    <row r="24" spans="1:9" x14ac:dyDescent="0.75">
      <c r="A24" s="3"/>
      <c r="B24" s="1"/>
      <c r="C24" s="1"/>
      <c r="D24" s="1">
        <f t="shared" si="0"/>
        <v>79</v>
      </c>
      <c r="E24" s="1">
        <f t="shared" si="1"/>
        <v>19</v>
      </c>
      <c r="F24" s="11">
        <f>_xlfn.IFNA(IF(E24="","",HLOOKUP($B$6,Plan_Calculations!$F$2:$L$75,E24+1,FALSE)),"Something is wrong")</f>
        <v>39000</v>
      </c>
      <c r="G24" s="1"/>
      <c r="H24" s="1"/>
      <c r="I24" s="2"/>
    </row>
    <row r="25" spans="1:9" x14ac:dyDescent="0.75">
      <c r="A25" s="3"/>
      <c r="B25" s="1"/>
      <c r="C25" s="1"/>
      <c r="D25" s="1">
        <f t="shared" si="0"/>
        <v>80</v>
      </c>
      <c r="E25" s="1">
        <f t="shared" si="1"/>
        <v>20</v>
      </c>
      <c r="F25" s="11">
        <f>_xlfn.IFNA(IF(E25="","",HLOOKUP($B$6,Plan_Calculations!$F$2:$L$75,E25+1,FALSE)),"Something is wrong")</f>
        <v>40000</v>
      </c>
      <c r="G25" s="1"/>
      <c r="H25" s="1"/>
      <c r="I25" s="2"/>
    </row>
    <row r="26" spans="1:9" x14ac:dyDescent="0.75">
      <c r="A26" s="3"/>
      <c r="B26" s="1"/>
      <c r="C26" s="1"/>
      <c r="D26" s="1">
        <f t="shared" si="0"/>
        <v>81</v>
      </c>
      <c r="E26" s="1">
        <f t="shared" si="1"/>
        <v>21</v>
      </c>
      <c r="F26" s="11">
        <f>_xlfn.IFNA(IF(E26="","",HLOOKUP($B$6,Plan_Calculations!$F$2:$L$75,E26+1,FALSE)),"Something is wrong")</f>
        <v>41000</v>
      </c>
      <c r="G26" s="1"/>
      <c r="H26" s="1"/>
      <c r="I26" s="2"/>
    </row>
    <row r="27" spans="1:9" x14ac:dyDescent="0.75">
      <c r="A27" s="3"/>
      <c r="B27" s="1"/>
      <c r="C27" s="1"/>
      <c r="D27" s="1">
        <f t="shared" si="0"/>
        <v>82</v>
      </c>
      <c r="E27" s="1">
        <f t="shared" si="1"/>
        <v>22</v>
      </c>
      <c r="F27" s="11">
        <f>_xlfn.IFNA(IF(E27="","",HLOOKUP($B$6,Plan_Calculations!$F$2:$L$75,E27+1,FALSE)),"Something is wrong")</f>
        <v>42000</v>
      </c>
      <c r="G27" s="1"/>
      <c r="H27" s="1"/>
      <c r="I27" s="2"/>
    </row>
    <row r="28" spans="1:9" x14ac:dyDescent="0.75">
      <c r="A28" s="3"/>
      <c r="B28" s="1"/>
      <c r="C28" s="1"/>
      <c r="D28" s="1">
        <f t="shared" si="0"/>
        <v>83</v>
      </c>
      <c r="E28" s="1">
        <f t="shared" si="1"/>
        <v>23</v>
      </c>
      <c r="F28" s="11">
        <f>_xlfn.IFNA(IF(E28="","",HLOOKUP($B$6,Plan_Calculations!$F$2:$L$75,E28+1,FALSE)),"Something is wrong")</f>
        <v>43000</v>
      </c>
      <c r="G28" s="1"/>
      <c r="H28" s="1"/>
      <c r="I28" s="2"/>
    </row>
    <row r="29" spans="1:9" x14ac:dyDescent="0.75">
      <c r="A29" s="3"/>
      <c r="B29" s="1"/>
      <c r="C29" s="1"/>
      <c r="D29" s="1">
        <f t="shared" si="0"/>
        <v>84</v>
      </c>
      <c r="E29" s="1">
        <f t="shared" si="1"/>
        <v>24</v>
      </c>
      <c r="F29" s="11">
        <f>_xlfn.IFNA(IF(E29="","",HLOOKUP($B$6,Plan_Calculations!$F$2:$L$75,E29+1,FALSE)),"Something is wrong")</f>
        <v>44000</v>
      </c>
      <c r="G29" s="1"/>
      <c r="H29" s="1"/>
      <c r="I29" s="2"/>
    </row>
    <row r="30" spans="1:9" x14ac:dyDescent="0.75">
      <c r="A30" s="3"/>
      <c r="B30" s="1"/>
      <c r="C30" s="1"/>
      <c r="D30" s="1">
        <f t="shared" si="0"/>
        <v>85</v>
      </c>
      <c r="E30" s="1">
        <f t="shared" si="1"/>
        <v>25</v>
      </c>
      <c r="F30" s="11">
        <f>_xlfn.IFNA(IF(E30="","",HLOOKUP($B$6,Plan_Calculations!$F$2:$L$75,E30+1,FALSE)),"Something is wrong")</f>
        <v>45000</v>
      </c>
      <c r="G30" s="1"/>
      <c r="H30" s="1"/>
      <c r="I30" s="2"/>
    </row>
    <row r="31" spans="1:9" x14ac:dyDescent="0.75">
      <c r="A31" s="3"/>
      <c r="B31" s="1"/>
      <c r="C31" s="1"/>
      <c r="D31" s="1">
        <f t="shared" si="0"/>
        <v>86</v>
      </c>
      <c r="E31" s="1">
        <f t="shared" si="1"/>
        <v>26</v>
      </c>
      <c r="F31" s="11">
        <f>_xlfn.IFNA(IF(E31="","",HLOOKUP($B$6,Plan_Calculations!$F$2:$L$75,E31+1,FALSE)),"Something is wrong")</f>
        <v>46000</v>
      </c>
      <c r="G31" s="1"/>
      <c r="H31" s="1"/>
      <c r="I31" s="2"/>
    </row>
    <row r="32" spans="1:9" x14ac:dyDescent="0.75">
      <c r="A32" s="3"/>
      <c r="B32" s="1"/>
      <c r="C32" s="1"/>
      <c r="D32" s="1">
        <f t="shared" si="0"/>
        <v>87</v>
      </c>
      <c r="E32" s="1">
        <f t="shared" si="1"/>
        <v>27</v>
      </c>
      <c r="F32" s="11">
        <f>_xlfn.IFNA(IF(E32="","",HLOOKUP($B$6,Plan_Calculations!$F$2:$L$75,E32+1,FALSE)),"Something is wrong")</f>
        <v>47000</v>
      </c>
      <c r="G32" s="1"/>
      <c r="H32" s="1"/>
      <c r="I32" s="2"/>
    </row>
    <row r="33" spans="1:9" x14ac:dyDescent="0.75">
      <c r="A33" s="3"/>
      <c r="B33" s="1"/>
      <c r="C33" s="1"/>
      <c r="D33" s="1">
        <f t="shared" si="0"/>
        <v>88</v>
      </c>
      <c r="E33" s="1">
        <f t="shared" si="1"/>
        <v>28</v>
      </c>
      <c r="F33" s="11">
        <f>_xlfn.IFNA(IF(E33="","",HLOOKUP($B$6,Plan_Calculations!$F$2:$L$75,E33+1,FALSE)),"Something is wrong")</f>
        <v>48000</v>
      </c>
      <c r="G33" s="1"/>
      <c r="H33" s="1"/>
      <c r="I33" s="2"/>
    </row>
    <row r="34" spans="1:9" x14ac:dyDescent="0.75">
      <c r="A34" s="3"/>
      <c r="B34" s="1"/>
      <c r="C34" s="1"/>
      <c r="D34" s="1">
        <f t="shared" si="0"/>
        <v>89</v>
      </c>
      <c r="E34" s="1">
        <f t="shared" si="1"/>
        <v>29</v>
      </c>
      <c r="F34" s="11">
        <f>_xlfn.IFNA(IF(E34="","",HLOOKUP($B$6,Plan_Calculations!$F$2:$L$75,E34+1,FALSE)),"Something is wrong")</f>
        <v>49000</v>
      </c>
      <c r="G34" s="1"/>
      <c r="H34" s="1"/>
      <c r="I34" s="2"/>
    </row>
    <row r="35" spans="1:9" x14ac:dyDescent="0.75">
      <c r="A35" s="3"/>
      <c r="B35" s="1"/>
      <c r="C35" s="1"/>
      <c r="D35" s="1">
        <f t="shared" si="0"/>
        <v>90</v>
      </c>
      <c r="E35" s="1">
        <f t="shared" si="1"/>
        <v>30</v>
      </c>
      <c r="F35" s="11">
        <f>_xlfn.IFNA(IF(E35="","",HLOOKUP($B$6,Plan_Calculations!$F$2:$L$75,E35+1,FALSE)),"Something is wrong")</f>
        <v>50000</v>
      </c>
      <c r="G35" s="1"/>
      <c r="H35" s="1"/>
      <c r="I35" s="2"/>
    </row>
    <row r="36" spans="1:9" x14ac:dyDescent="0.75">
      <c r="A36" s="3"/>
      <c r="B36" s="1"/>
      <c r="C36" s="1"/>
      <c r="D36" s="1">
        <f t="shared" si="0"/>
        <v>91</v>
      </c>
      <c r="E36" s="1">
        <f t="shared" si="1"/>
        <v>31</v>
      </c>
      <c r="F36" s="11">
        <f>_xlfn.IFNA(IF(E36="","",HLOOKUP($B$6,Plan_Calculations!$F$2:$L$75,E36+1,FALSE)),"Something is wrong")</f>
        <v>51000</v>
      </c>
      <c r="G36" s="1"/>
      <c r="H36" s="1"/>
      <c r="I36" s="2"/>
    </row>
    <row r="37" spans="1:9" x14ac:dyDescent="0.75">
      <c r="A37" s="3"/>
      <c r="B37" s="1"/>
      <c r="C37" s="1"/>
      <c r="D37" s="1">
        <f t="shared" si="0"/>
        <v>92</v>
      </c>
      <c r="E37" s="1">
        <f t="shared" si="1"/>
        <v>32</v>
      </c>
      <c r="F37" s="11">
        <f>_xlfn.IFNA(IF(E37="","",HLOOKUP($B$6,Plan_Calculations!$F$2:$L$75,E37+1,FALSE)),"Something is wrong")</f>
        <v>52000</v>
      </c>
      <c r="G37" s="1"/>
      <c r="H37" s="1"/>
      <c r="I37" s="2"/>
    </row>
    <row r="38" spans="1:9" x14ac:dyDescent="0.75">
      <c r="A38" s="3"/>
      <c r="B38" s="1"/>
      <c r="C38" s="1"/>
      <c r="D38" s="1">
        <f t="shared" si="0"/>
        <v>93</v>
      </c>
      <c r="E38" s="1">
        <f t="shared" si="1"/>
        <v>33</v>
      </c>
      <c r="F38" s="11">
        <f>_xlfn.IFNA(IF(E38="","",HLOOKUP($B$6,Plan_Calculations!$F$2:$L$75,E38+1,FALSE)),"Something is wrong")</f>
        <v>53000</v>
      </c>
      <c r="G38" s="1"/>
      <c r="H38" s="1"/>
      <c r="I38" s="2"/>
    </row>
    <row r="39" spans="1:9" x14ac:dyDescent="0.75">
      <c r="A39" s="3"/>
      <c r="B39" s="1"/>
      <c r="C39" s="1"/>
      <c r="D39" s="1">
        <f t="shared" ref="D39:D70" si="2">IF(E39="","",D38+1)</f>
        <v>94</v>
      </c>
      <c r="E39" s="1">
        <f t="shared" ref="E39:E70" si="3">IF(E38="","",IF($B$9+E38-1&gt;=110,"",E38+1))</f>
        <v>34</v>
      </c>
      <c r="F39" s="11">
        <f>_xlfn.IFNA(IF(E39="","",HLOOKUP($B$6,Plan_Calculations!$F$2:$L$75,E39+1,FALSE)),"Something is wrong")</f>
        <v>54000</v>
      </c>
      <c r="G39" s="1"/>
      <c r="H39" s="1"/>
      <c r="I39" s="2"/>
    </row>
    <row r="40" spans="1:9" x14ac:dyDescent="0.75">
      <c r="A40" s="3"/>
      <c r="B40" s="1"/>
      <c r="C40" s="1"/>
      <c r="D40" s="1">
        <f t="shared" si="2"/>
        <v>95</v>
      </c>
      <c r="E40" s="1">
        <f t="shared" si="3"/>
        <v>35</v>
      </c>
      <c r="F40" s="11">
        <f>_xlfn.IFNA(IF(E40="","",HLOOKUP($B$6,Plan_Calculations!$F$2:$L$75,E40+1,FALSE)),"Something is wrong")</f>
        <v>0</v>
      </c>
      <c r="G40" s="1"/>
      <c r="H40" s="1"/>
      <c r="I40" s="2"/>
    </row>
    <row r="41" spans="1:9" x14ac:dyDescent="0.75">
      <c r="A41" s="3"/>
      <c r="B41" s="1"/>
      <c r="C41" s="1"/>
      <c r="D41" s="1">
        <f t="shared" si="2"/>
        <v>96</v>
      </c>
      <c r="E41" s="1">
        <f t="shared" si="3"/>
        <v>36</v>
      </c>
      <c r="F41" s="11">
        <f>_xlfn.IFNA(IF(E41="","",HLOOKUP($B$6,Plan_Calculations!$F$2:$L$75,E41+1,FALSE)),"Something is wrong")</f>
        <v>0</v>
      </c>
      <c r="G41" s="1"/>
      <c r="H41" s="1"/>
      <c r="I41" s="2"/>
    </row>
    <row r="42" spans="1:9" x14ac:dyDescent="0.75">
      <c r="A42" s="3"/>
      <c r="B42" s="1"/>
      <c r="C42" s="1"/>
      <c r="D42" s="1">
        <f t="shared" si="2"/>
        <v>97</v>
      </c>
      <c r="E42" s="1">
        <f t="shared" si="3"/>
        <v>37</v>
      </c>
      <c r="F42" s="11">
        <f>_xlfn.IFNA(IF(E42="","",HLOOKUP($B$6,Plan_Calculations!$F$2:$L$75,E42+1,FALSE)),"Something is wrong")</f>
        <v>0</v>
      </c>
      <c r="G42" s="1"/>
      <c r="H42" s="1"/>
      <c r="I42" s="2"/>
    </row>
    <row r="43" spans="1:9" x14ac:dyDescent="0.75">
      <c r="A43" s="3"/>
      <c r="B43" s="1"/>
      <c r="C43" s="1"/>
      <c r="D43" s="1">
        <f t="shared" si="2"/>
        <v>98</v>
      </c>
      <c r="E43" s="1">
        <f t="shared" si="3"/>
        <v>38</v>
      </c>
      <c r="F43" s="11">
        <f>_xlfn.IFNA(IF(E43="","",HLOOKUP($B$6,Plan_Calculations!$F$2:$L$75,E43+1,FALSE)),"Something is wrong")</f>
        <v>0</v>
      </c>
      <c r="G43" s="1"/>
      <c r="H43" s="1"/>
      <c r="I43" s="2"/>
    </row>
    <row r="44" spans="1:9" x14ac:dyDescent="0.75">
      <c r="A44" s="3"/>
      <c r="B44" s="1"/>
      <c r="C44" s="1"/>
      <c r="D44" s="1">
        <f t="shared" si="2"/>
        <v>99</v>
      </c>
      <c r="E44" s="1">
        <f t="shared" si="3"/>
        <v>39</v>
      </c>
      <c r="F44" s="11">
        <f>_xlfn.IFNA(IF(E44="","",HLOOKUP($B$6,Plan_Calculations!$F$2:$L$75,E44+1,FALSE)),"Something is wrong")</f>
        <v>0</v>
      </c>
      <c r="G44" s="1"/>
      <c r="H44" s="1"/>
      <c r="I44" s="2"/>
    </row>
    <row r="45" spans="1:9" x14ac:dyDescent="0.75">
      <c r="A45" s="3"/>
      <c r="B45" s="1"/>
      <c r="C45" s="1"/>
      <c r="D45" s="1">
        <f t="shared" si="2"/>
        <v>100</v>
      </c>
      <c r="E45" s="1">
        <f t="shared" si="3"/>
        <v>40</v>
      </c>
      <c r="F45" s="11">
        <f>_xlfn.IFNA(IF(E45="","",HLOOKUP($B$6,Plan_Calculations!$F$2:$L$75,E45+1,FALSE)),"Something is wrong")</f>
        <v>0</v>
      </c>
      <c r="G45" s="1"/>
      <c r="H45" s="1"/>
      <c r="I45" s="2"/>
    </row>
    <row r="46" spans="1:9" x14ac:dyDescent="0.75">
      <c r="A46" s="3"/>
      <c r="B46" s="1"/>
      <c r="C46" s="1"/>
      <c r="D46" s="1">
        <f t="shared" si="2"/>
        <v>101</v>
      </c>
      <c r="E46" s="1">
        <f t="shared" si="3"/>
        <v>41</v>
      </c>
      <c r="F46" s="11">
        <f>_xlfn.IFNA(IF(E46="","",HLOOKUP($B$6,Plan_Calculations!$F$2:$L$75,E46+1,FALSE)),"Something is wrong")</f>
        <v>0</v>
      </c>
      <c r="G46" s="1"/>
      <c r="H46" s="1"/>
      <c r="I46" s="2"/>
    </row>
    <row r="47" spans="1:9" x14ac:dyDescent="0.75">
      <c r="A47" s="3"/>
      <c r="B47" s="1"/>
      <c r="C47" s="1"/>
      <c r="D47" s="1">
        <f t="shared" si="2"/>
        <v>102</v>
      </c>
      <c r="E47" s="1">
        <f t="shared" si="3"/>
        <v>42</v>
      </c>
      <c r="F47" s="11">
        <f>_xlfn.IFNA(IF(E47="","",HLOOKUP($B$6,Plan_Calculations!$F$2:$L$75,E47+1,FALSE)),"Something is wrong")</f>
        <v>0</v>
      </c>
      <c r="G47" s="1"/>
      <c r="H47" s="1"/>
      <c r="I47" s="2"/>
    </row>
    <row r="48" spans="1:9" x14ac:dyDescent="0.75">
      <c r="A48" s="3"/>
      <c r="B48" s="1"/>
      <c r="C48" s="1"/>
      <c r="D48" s="1">
        <f t="shared" si="2"/>
        <v>103</v>
      </c>
      <c r="E48" s="1">
        <f t="shared" si="3"/>
        <v>43</v>
      </c>
      <c r="F48" s="11">
        <f>_xlfn.IFNA(IF(E48="","",HLOOKUP($B$6,Plan_Calculations!$F$2:$L$75,E48+1,FALSE)),"Something is wrong")</f>
        <v>0</v>
      </c>
      <c r="G48" s="1"/>
      <c r="H48" s="1"/>
      <c r="I48" s="2"/>
    </row>
    <row r="49" spans="1:9" x14ac:dyDescent="0.75">
      <c r="A49" s="3"/>
      <c r="B49" s="1"/>
      <c r="C49" s="1"/>
      <c r="D49" s="1">
        <f t="shared" si="2"/>
        <v>104</v>
      </c>
      <c r="E49" s="1">
        <f t="shared" si="3"/>
        <v>44</v>
      </c>
      <c r="F49" s="11">
        <f>_xlfn.IFNA(IF(E49="","",HLOOKUP($B$6,Plan_Calculations!$F$2:$L$75,E49+1,FALSE)),"Something is wrong")</f>
        <v>0</v>
      </c>
      <c r="G49" s="1"/>
      <c r="H49" s="1"/>
      <c r="I49" s="2"/>
    </row>
    <row r="50" spans="1:9" x14ac:dyDescent="0.75">
      <c r="A50" s="3"/>
      <c r="B50" s="1"/>
      <c r="C50" s="1"/>
      <c r="D50" s="1">
        <f t="shared" si="2"/>
        <v>105</v>
      </c>
      <c r="E50" s="1">
        <f t="shared" si="3"/>
        <v>45</v>
      </c>
      <c r="F50" s="11">
        <f>_xlfn.IFNA(IF(E50="","",HLOOKUP($B$6,Plan_Calculations!$F$2:$L$75,E50+1,FALSE)),"Something is wrong")</f>
        <v>0</v>
      </c>
      <c r="G50" s="1"/>
      <c r="H50" s="1"/>
      <c r="I50" s="2"/>
    </row>
    <row r="51" spans="1:9" x14ac:dyDescent="0.75">
      <c r="A51" s="3"/>
      <c r="B51" s="1"/>
      <c r="C51" s="1"/>
      <c r="D51" s="1">
        <f t="shared" si="2"/>
        <v>106</v>
      </c>
      <c r="E51" s="1">
        <f t="shared" si="3"/>
        <v>46</v>
      </c>
      <c r="F51" s="11">
        <f>_xlfn.IFNA(IF(E51="","",HLOOKUP($B$6,Plan_Calculations!$F$2:$L$75,E51+1,FALSE)),"Something is wrong")</f>
        <v>0</v>
      </c>
      <c r="G51" s="1"/>
      <c r="H51" s="1"/>
      <c r="I51" s="2"/>
    </row>
    <row r="52" spans="1:9" x14ac:dyDescent="0.75">
      <c r="A52" s="3"/>
      <c r="B52" s="1"/>
      <c r="C52" s="1"/>
      <c r="D52" s="1">
        <f t="shared" si="2"/>
        <v>107</v>
      </c>
      <c r="E52" s="1">
        <f t="shared" si="3"/>
        <v>47</v>
      </c>
      <c r="F52" s="11">
        <f>_xlfn.IFNA(IF(E52="","",HLOOKUP($B$6,Plan_Calculations!$F$2:$L$75,E52+1,FALSE)),"Something is wrong")</f>
        <v>0</v>
      </c>
      <c r="G52" s="1"/>
      <c r="H52" s="1"/>
      <c r="I52" s="2"/>
    </row>
    <row r="53" spans="1:9" x14ac:dyDescent="0.75">
      <c r="A53" s="3"/>
      <c r="B53" s="1"/>
      <c r="C53" s="1"/>
      <c r="D53" s="1">
        <f t="shared" si="2"/>
        <v>108</v>
      </c>
      <c r="E53" s="1">
        <f t="shared" si="3"/>
        <v>48</v>
      </c>
      <c r="F53" s="11">
        <f>_xlfn.IFNA(IF(E53="","",HLOOKUP($B$6,Plan_Calculations!$F$2:$L$75,E53+1,FALSE)),"Something is wrong")</f>
        <v>0</v>
      </c>
      <c r="G53" s="1"/>
      <c r="H53" s="1"/>
      <c r="I53" s="2"/>
    </row>
    <row r="54" spans="1:9" x14ac:dyDescent="0.75">
      <c r="A54" s="3"/>
      <c r="B54" s="1"/>
      <c r="C54" s="1"/>
      <c r="D54" s="1">
        <f t="shared" si="2"/>
        <v>109</v>
      </c>
      <c r="E54" s="1">
        <f t="shared" si="3"/>
        <v>49</v>
      </c>
      <c r="F54" s="11">
        <f>_xlfn.IFNA(IF(E54="","",HLOOKUP($B$6,Plan_Calculations!$F$2:$L$75,E54+1,FALSE)),"Something is wrong")</f>
        <v>0</v>
      </c>
      <c r="G54" s="1"/>
      <c r="H54" s="1"/>
      <c r="I54" s="2"/>
    </row>
    <row r="55" spans="1:9" x14ac:dyDescent="0.75">
      <c r="A55" s="3"/>
      <c r="B55" s="1"/>
      <c r="C55" s="1"/>
      <c r="D55" s="1">
        <f t="shared" si="2"/>
        <v>110</v>
      </c>
      <c r="E55" s="1">
        <f t="shared" si="3"/>
        <v>50</v>
      </c>
      <c r="F55" s="11">
        <f>_xlfn.IFNA(IF(E55="","",HLOOKUP($B$6,Plan_Calculations!$F$2:$L$75,E55+1,FALSE)),"Something is wrong")</f>
        <v>0</v>
      </c>
      <c r="G55" s="1"/>
      <c r="H55" s="1"/>
      <c r="I55" s="2"/>
    </row>
    <row r="56" spans="1:9" x14ac:dyDescent="0.75">
      <c r="A56" s="3"/>
      <c r="B56" s="1"/>
      <c r="C56" s="1"/>
      <c r="D56" s="1" t="str">
        <f t="shared" si="2"/>
        <v/>
      </c>
      <c r="E56" s="1" t="str">
        <f t="shared" si="3"/>
        <v/>
      </c>
      <c r="F56" s="11" t="str">
        <f>_xlfn.IFNA(IF(E56="","",HLOOKUP($B$6,Plan_Calculations!$F$2:$L$75,E56+1,FALSE)),"Something is wrong")</f>
        <v/>
      </c>
      <c r="G56" s="1"/>
      <c r="H56" s="1"/>
      <c r="I56" s="2"/>
    </row>
    <row r="57" spans="1:9" x14ac:dyDescent="0.75">
      <c r="A57" s="3"/>
      <c r="B57" s="1"/>
      <c r="C57" s="1"/>
      <c r="D57" s="1" t="str">
        <f t="shared" si="2"/>
        <v/>
      </c>
      <c r="E57" s="1" t="str">
        <f t="shared" si="3"/>
        <v/>
      </c>
      <c r="F57" s="11" t="str">
        <f>_xlfn.IFNA(IF(E57="","",HLOOKUP($B$6,Plan_Calculations!$F$2:$L$75,E57+1,FALSE)),"Something is wrong")</f>
        <v/>
      </c>
      <c r="G57" s="1"/>
      <c r="H57" s="1"/>
      <c r="I57" s="2"/>
    </row>
    <row r="58" spans="1:9" x14ac:dyDescent="0.75">
      <c r="A58" s="3"/>
      <c r="B58" s="1"/>
      <c r="C58" s="1"/>
      <c r="D58" s="1" t="str">
        <f t="shared" si="2"/>
        <v/>
      </c>
      <c r="E58" s="1" t="str">
        <f t="shared" si="3"/>
        <v/>
      </c>
      <c r="F58" s="11" t="str">
        <f>_xlfn.IFNA(IF(E58="","",HLOOKUP($B$6,Plan_Calculations!$F$2:$L$75,E58+1,FALSE)),"Something is wrong")</f>
        <v/>
      </c>
      <c r="G58" s="1"/>
      <c r="H58" s="1"/>
      <c r="I58" s="2"/>
    </row>
    <row r="59" spans="1:9" x14ac:dyDescent="0.75">
      <c r="A59" s="3"/>
      <c r="B59" s="1"/>
      <c r="C59" s="1"/>
      <c r="D59" s="1" t="str">
        <f t="shared" si="2"/>
        <v/>
      </c>
      <c r="E59" s="1" t="str">
        <f t="shared" si="3"/>
        <v/>
      </c>
      <c r="F59" s="11" t="str">
        <f>_xlfn.IFNA(IF(E59="","",HLOOKUP($B$6,Plan_Calculations!$F$2:$L$75,E59+1,FALSE)),"Something is wrong")</f>
        <v/>
      </c>
      <c r="G59" s="1"/>
      <c r="H59" s="1"/>
      <c r="I59" s="2"/>
    </row>
    <row r="60" spans="1:9" x14ac:dyDescent="0.75">
      <c r="A60" s="3"/>
      <c r="B60" s="1"/>
      <c r="C60" s="1"/>
      <c r="D60" s="1" t="str">
        <f t="shared" si="2"/>
        <v/>
      </c>
      <c r="E60" s="1" t="str">
        <f t="shared" si="3"/>
        <v/>
      </c>
      <c r="F60" s="11" t="str">
        <f>_xlfn.IFNA(IF(E60="","",HLOOKUP($B$6,Plan_Calculations!$F$2:$L$75,E60+1,FALSE)),"Something is wrong")</f>
        <v/>
      </c>
      <c r="G60" s="1"/>
      <c r="H60" s="1"/>
      <c r="I60" s="2"/>
    </row>
    <row r="61" spans="1:9" x14ac:dyDescent="0.75">
      <c r="A61" s="3"/>
      <c r="B61" s="1"/>
      <c r="C61" s="1"/>
      <c r="D61" s="1" t="str">
        <f t="shared" si="2"/>
        <v/>
      </c>
      <c r="E61" s="1" t="str">
        <f t="shared" si="3"/>
        <v/>
      </c>
      <c r="F61" s="11" t="str">
        <f>_xlfn.IFNA(IF(E61="","",HLOOKUP($B$6,Plan_Calculations!$F$2:$L$75,E61+1,FALSE)),"Something is wrong")</f>
        <v/>
      </c>
      <c r="G61" s="1"/>
      <c r="H61" s="1"/>
      <c r="I61" s="2"/>
    </row>
    <row r="62" spans="1:9" x14ac:dyDescent="0.75">
      <c r="A62" s="3"/>
      <c r="B62" s="1"/>
      <c r="C62" s="1"/>
      <c r="D62" s="1" t="str">
        <f t="shared" si="2"/>
        <v/>
      </c>
      <c r="E62" s="1" t="str">
        <f t="shared" si="3"/>
        <v/>
      </c>
      <c r="F62" s="11" t="str">
        <f>_xlfn.IFNA(IF(E62="","",HLOOKUP($B$6,Plan_Calculations!$F$2:$L$75,E62+1,FALSE)),"Something is wrong")</f>
        <v/>
      </c>
      <c r="G62" s="1"/>
      <c r="H62" s="1"/>
      <c r="I62" s="2"/>
    </row>
    <row r="63" spans="1:9" x14ac:dyDescent="0.75">
      <c r="A63" s="3"/>
      <c r="B63" s="1"/>
      <c r="C63" s="1"/>
      <c r="D63" s="1" t="str">
        <f t="shared" si="2"/>
        <v/>
      </c>
      <c r="E63" s="1" t="str">
        <f t="shared" si="3"/>
        <v/>
      </c>
      <c r="F63" s="11" t="str">
        <f>_xlfn.IFNA(IF(E63="","",HLOOKUP($B$6,Plan_Calculations!$F$2:$L$75,E63+1,FALSE)),"Something is wrong")</f>
        <v/>
      </c>
      <c r="G63" s="1"/>
      <c r="H63" s="1"/>
      <c r="I63" s="2"/>
    </row>
    <row r="64" spans="1:9" x14ac:dyDescent="0.75">
      <c r="A64" s="3"/>
      <c r="B64" s="1"/>
      <c r="C64" s="1"/>
      <c r="D64" s="1" t="str">
        <f t="shared" si="2"/>
        <v/>
      </c>
      <c r="E64" s="1" t="str">
        <f t="shared" si="3"/>
        <v/>
      </c>
      <c r="F64" s="11" t="str">
        <f>_xlfn.IFNA(IF(E64="","",HLOOKUP($B$6,Plan_Calculations!$F$2:$L$75,E64+1,FALSE)),"Something is wrong")</f>
        <v/>
      </c>
      <c r="G64" s="1"/>
      <c r="H64" s="1"/>
      <c r="I64" s="2"/>
    </row>
    <row r="65" spans="1:9" x14ac:dyDescent="0.75">
      <c r="A65" s="3"/>
      <c r="B65" s="1"/>
      <c r="C65" s="1"/>
      <c r="D65" s="1" t="str">
        <f t="shared" si="2"/>
        <v/>
      </c>
      <c r="E65" s="1" t="str">
        <f t="shared" si="3"/>
        <v/>
      </c>
      <c r="F65" s="11" t="str">
        <f>_xlfn.IFNA(IF(E65="","",HLOOKUP($B$6,Plan_Calculations!$F$2:$L$75,E65+1,FALSE)),"Something is wrong")</f>
        <v/>
      </c>
      <c r="G65" s="1"/>
      <c r="H65" s="1"/>
      <c r="I65" s="2"/>
    </row>
    <row r="66" spans="1:9" x14ac:dyDescent="0.75">
      <c r="A66" s="3"/>
      <c r="B66" s="1"/>
      <c r="C66" s="1"/>
      <c r="D66" s="1" t="str">
        <f t="shared" si="2"/>
        <v/>
      </c>
      <c r="E66" s="1" t="str">
        <f t="shared" si="3"/>
        <v/>
      </c>
      <c r="F66" s="11" t="str">
        <f>_xlfn.IFNA(IF(E66="","",HLOOKUP($B$6,Plan_Calculations!$F$2:$L$75,E66+1,FALSE)),"Something is wrong")</f>
        <v/>
      </c>
      <c r="G66" s="1"/>
      <c r="H66" s="1"/>
      <c r="I66" s="2"/>
    </row>
    <row r="67" spans="1:9" x14ac:dyDescent="0.75">
      <c r="A67" s="3"/>
      <c r="B67" s="1"/>
      <c r="C67" s="1"/>
      <c r="D67" s="1" t="str">
        <f t="shared" si="2"/>
        <v/>
      </c>
      <c r="E67" s="1" t="str">
        <f t="shared" si="3"/>
        <v/>
      </c>
      <c r="F67" s="11" t="str">
        <f>_xlfn.IFNA(IF(E67="","",HLOOKUP($B$6,Plan_Calculations!$F$2:$L$75,E67+1,FALSE)),"Something is wrong")</f>
        <v/>
      </c>
      <c r="G67" s="1"/>
      <c r="H67" s="1"/>
      <c r="I67" s="2"/>
    </row>
    <row r="68" spans="1:9" x14ac:dyDescent="0.75">
      <c r="A68" s="3"/>
      <c r="B68" s="1"/>
      <c r="C68" s="1"/>
      <c r="D68" s="1" t="str">
        <f t="shared" si="2"/>
        <v/>
      </c>
      <c r="E68" s="1" t="str">
        <f t="shared" si="3"/>
        <v/>
      </c>
      <c r="F68" s="11" t="str">
        <f>_xlfn.IFNA(IF(E68="","",HLOOKUP($B$6,Plan_Calculations!$F$2:$L$75,E68+1,FALSE)),"Something is wrong")</f>
        <v/>
      </c>
      <c r="G68" s="1"/>
      <c r="H68" s="1"/>
      <c r="I68" s="2"/>
    </row>
    <row r="69" spans="1:9" x14ac:dyDescent="0.75">
      <c r="A69" s="3"/>
      <c r="B69" s="1"/>
      <c r="C69" s="1"/>
      <c r="D69" s="1" t="str">
        <f t="shared" si="2"/>
        <v/>
      </c>
      <c r="E69" s="1" t="str">
        <f t="shared" si="3"/>
        <v/>
      </c>
      <c r="F69" s="11" t="str">
        <f>_xlfn.IFNA(IF(E69="","",HLOOKUP($B$6,Plan_Calculations!$F$2:$L$75,E69+1,FALSE)),"Something is wrong")</f>
        <v/>
      </c>
      <c r="G69" s="1"/>
      <c r="H69" s="1"/>
      <c r="I69" s="2"/>
    </row>
    <row r="70" spans="1:9" x14ac:dyDescent="0.75">
      <c r="A70" s="3"/>
      <c r="B70" s="1"/>
      <c r="C70" s="1"/>
      <c r="D70" s="1" t="str">
        <f t="shared" si="2"/>
        <v/>
      </c>
      <c r="E70" s="1" t="str">
        <f t="shared" si="3"/>
        <v/>
      </c>
      <c r="F70" s="11" t="str">
        <f>_xlfn.IFNA(IF(E70="","",HLOOKUP($B$6,Plan_Calculations!$F$2:$L$75,E70+1,FALSE)),"Something is wrong")</f>
        <v/>
      </c>
      <c r="G70" s="1"/>
      <c r="H70" s="1"/>
      <c r="I70" s="2"/>
    </row>
    <row r="71" spans="1:9" x14ac:dyDescent="0.75">
      <c r="A71" s="3"/>
      <c r="B71" s="1"/>
      <c r="C71" s="1"/>
      <c r="D71" s="1" t="str">
        <f t="shared" ref="D71:D76" si="4">IF(E71="","",D70+1)</f>
        <v/>
      </c>
      <c r="E71" s="1" t="str">
        <f t="shared" ref="E71:E76" si="5">IF(E70="","",IF($B$9+E70-1&gt;=110,"",E70+1))</f>
        <v/>
      </c>
      <c r="F71" s="11" t="str">
        <f>_xlfn.IFNA(IF(E71="","",HLOOKUP($B$6,Plan_Calculations!$F$2:$L$75,E71+1,FALSE)),"Something is wrong")</f>
        <v/>
      </c>
      <c r="G71" s="1"/>
      <c r="H71" s="1"/>
      <c r="I71" s="2"/>
    </row>
    <row r="72" spans="1:9" x14ac:dyDescent="0.75">
      <c r="A72" s="3"/>
      <c r="B72" s="1"/>
      <c r="C72" s="1"/>
      <c r="D72" s="1" t="str">
        <f t="shared" si="4"/>
        <v/>
      </c>
      <c r="E72" s="1" t="str">
        <f t="shared" si="5"/>
        <v/>
      </c>
      <c r="F72" s="11" t="str">
        <f>_xlfn.IFNA(IF(E72="","",HLOOKUP($B$6,Plan_Calculations!$F$2:$L$75,E72+1,FALSE)),"Something is wrong")</f>
        <v/>
      </c>
      <c r="G72" s="1"/>
      <c r="H72" s="1"/>
      <c r="I72" s="2"/>
    </row>
    <row r="73" spans="1:9" x14ac:dyDescent="0.75">
      <c r="A73" s="3"/>
      <c r="B73" s="1"/>
      <c r="C73" s="1"/>
      <c r="D73" s="1" t="str">
        <f t="shared" si="4"/>
        <v/>
      </c>
      <c r="E73" s="1" t="str">
        <f t="shared" si="5"/>
        <v/>
      </c>
      <c r="F73" s="11" t="str">
        <f>_xlfn.IFNA(IF(E73="","",HLOOKUP($B$6,Plan_Calculations!$F$2:$L$75,E73+1,FALSE)),"Something is wrong")</f>
        <v/>
      </c>
      <c r="G73" s="1"/>
      <c r="H73" s="1"/>
      <c r="I73" s="2"/>
    </row>
    <row r="74" spans="1:9" x14ac:dyDescent="0.75">
      <c r="A74" s="3"/>
      <c r="B74" s="1"/>
      <c r="C74" s="1"/>
      <c r="D74" s="1" t="str">
        <f t="shared" si="4"/>
        <v/>
      </c>
      <c r="E74" s="1" t="str">
        <f t="shared" si="5"/>
        <v/>
      </c>
      <c r="F74" s="11" t="str">
        <f>_xlfn.IFNA(IF(E74="","",HLOOKUP($B$6,Plan_Calculations!$F$2:$L$75,E74+1,FALSE)),"Something is wrong")</f>
        <v/>
      </c>
      <c r="G74" s="1"/>
      <c r="H74" s="1"/>
      <c r="I74" s="2"/>
    </row>
    <row r="75" spans="1:9" x14ac:dyDescent="0.75">
      <c r="A75" s="3"/>
      <c r="B75" s="1"/>
      <c r="C75" s="1"/>
      <c r="D75" s="1" t="str">
        <f t="shared" si="4"/>
        <v/>
      </c>
      <c r="E75" s="1" t="str">
        <f t="shared" si="5"/>
        <v/>
      </c>
      <c r="F75" s="11" t="str">
        <f>_xlfn.IFNA(IF(E75="","",HLOOKUP($B$6,Plan_Calculations!$F$2:$L$75,E75+1,FALSE)),"Something is wrong")</f>
        <v/>
      </c>
      <c r="G75" s="1"/>
      <c r="H75" s="1"/>
      <c r="I75" s="2"/>
    </row>
    <row r="76" spans="1:9" x14ac:dyDescent="0.75">
      <c r="A76" s="3"/>
      <c r="B76" s="1"/>
      <c r="C76" s="1"/>
      <c r="D76" s="1" t="str">
        <f t="shared" si="4"/>
        <v/>
      </c>
      <c r="E76" s="1" t="str">
        <f t="shared" si="5"/>
        <v/>
      </c>
      <c r="F76" s="11" t="str">
        <f>_xlfn.IFNA(IF(E76="","",HLOOKUP($B$6,Plan_Calculations!$F$2:$L$75,E76+1,FALSE)),"Something is wrong")</f>
        <v/>
      </c>
      <c r="G76" s="1"/>
      <c r="H76" s="1"/>
      <c r="I76" s="2"/>
    </row>
  </sheetData>
  <mergeCells count="2">
    <mergeCell ref="B2:I2"/>
    <mergeCell ref="B3:I3"/>
  </mergeCells>
  <pageMargins left="0.70000000000000007" right="0.70000000000000007" top="0.75" bottom="0.75" header="0.30000000000000004" footer="0.30000000000000004"/>
  <pageSetup paperSize="0" fitToWidth="0" fitToHeight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L75"/>
  <sheetViews>
    <sheetView tabSelected="1" topLeftCell="A2" workbookViewId="0"/>
  </sheetViews>
  <sheetFormatPr defaultRowHeight="14.75" x14ac:dyDescent="0.75"/>
  <cols>
    <col min="1" max="1" width="8.7265625" customWidth="1"/>
    <col min="2" max="2" width="17.7265625" bestFit="1" customWidth="1"/>
    <col min="3" max="6" width="8.7265625" customWidth="1"/>
    <col min="7" max="7" width="9.81640625" bestFit="1" customWidth="1"/>
    <col min="8" max="8" width="8.7265625" customWidth="1"/>
  </cols>
  <sheetData>
    <row r="2" spans="2:12" x14ac:dyDescent="0.75">
      <c r="B2" t="s">
        <v>13</v>
      </c>
      <c r="F2" t="s">
        <v>14</v>
      </c>
      <c r="G2" t="s">
        <v>15</v>
      </c>
      <c r="H2" t="s">
        <v>16</v>
      </c>
      <c r="I2" t="s">
        <v>17</v>
      </c>
      <c r="J2" t="s">
        <v>7</v>
      </c>
      <c r="K2" t="s">
        <v>18</v>
      </c>
      <c r="L2" t="s">
        <v>19</v>
      </c>
    </row>
    <row r="3" spans="2:12" x14ac:dyDescent="0.75">
      <c r="B3">
        <f>Illustration_Calculator!B15</f>
        <v>10</v>
      </c>
      <c r="C3">
        <f>B6</f>
        <v>61</v>
      </c>
      <c r="D3">
        <v>1</v>
      </c>
      <c r="E3" t="s">
        <v>20</v>
      </c>
      <c r="F3">
        <f t="shared" ref="F3:F34" si="0">IF(AND($B$6+D3-1&gt;=$B$9,$B$6+D3-1&lt;$B$9+$B$3),15000,0)</f>
        <v>0</v>
      </c>
      <c r="G3">
        <f t="shared" ref="G3:G34" si="1">IF($B$6+D3-1&lt; 95, IF($B$6+D3-1=65, 25000, IF($B$6+D3-1&gt;65, 25000+1000*($B$6+D3-1-65), 0)), 0)</f>
        <v>0</v>
      </c>
      <c r="H3">
        <f t="shared" ref="H3:H34" si="2">IF(OR($B$6+D3-1&lt;$B$9, $B$6+D3-1&gt;110),0,7200)</f>
        <v>0</v>
      </c>
      <c r="I3">
        <f t="shared" ref="I3:I34" si="3">IF(AND($B$6+D3-1 &gt;=60, $B$6+D3&lt;=100),($B$6+D3-1)*1000,0)</f>
        <v>61000</v>
      </c>
      <c r="J3">
        <f t="shared" ref="J3:J34" si="4">IF(AND($B$6+D3-1&gt;=$B$9, $B$6+D3-1&lt;$B$9+$B$3), IF($B$6+D3-1&lt;($B$9+$B$3/2), 19000, 25000), 0)</f>
        <v>0</v>
      </c>
      <c r="K3">
        <f t="shared" ref="K3:K34" si="5">IF(AND($B$6+D3-1&gt;=$B$9, $B$6+D3-1&lt;($B$9+$B$3)), 100000/$B$3, 0)</f>
        <v>0</v>
      </c>
      <c r="L3">
        <f t="shared" ref="L3:L34" si="6">IF(AND($B$6+D3-1&gt;=$B$9, $B$6+D3-1&lt;$B$9+$B$3), IF(AND(ISEVEN($B$6+D3-1), ISEVEN($B$9)), 30000, IF(AND(ISODD($B$6+D3-1), ISODD($B$9)), 30000, 0)), 0)</f>
        <v>0</v>
      </c>
    </row>
    <row r="4" spans="2:12" x14ac:dyDescent="0.75">
      <c r="C4">
        <f t="shared" ref="C4:C35" si="7">C3+1</f>
        <v>62</v>
      </c>
      <c r="D4">
        <v>2</v>
      </c>
      <c r="E4" t="s">
        <v>21</v>
      </c>
      <c r="F4">
        <f t="shared" si="0"/>
        <v>0</v>
      </c>
      <c r="G4">
        <f t="shared" si="1"/>
        <v>0</v>
      </c>
      <c r="H4">
        <f t="shared" si="2"/>
        <v>0</v>
      </c>
      <c r="I4">
        <f t="shared" si="3"/>
        <v>62000</v>
      </c>
      <c r="J4">
        <f t="shared" si="4"/>
        <v>0</v>
      </c>
      <c r="K4">
        <f t="shared" si="5"/>
        <v>0</v>
      </c>
      <c r="L4">
        <f t="shared" si="6"/>
        <v>0</v>
      </c>
    </row>
    <row r="5" spans="2:12" x14ac:dyDescent="0.75">
      <c r="B5" t="s">
        <v>22</v>
      </c>
      <c r="C5">
        <f t="shared" si="7"/>
        <v>63</v>
      </c>
      <c r="D5">
        <v>3</v>
      </c>
      <c r="E5" t="s">
        <v>23</v>
      </c>
      <c r="F5">
        <f t="shared" si="0"/>
        <v>0</v>
      </c>
      <c r="G5">
        <f t="shared" si="1"/>
        <v>0</v>
      </c>
      <c r="H5">
        <f t="shared" si="2"/>
        <v>0</v>
      </c>
      <c r="I5">
        <f t="shared" si="3"/>
        <v>63000</v>
      </c>
      <c r="J5">
        <f t="shared" si="4"/>
        <v>0</v>
      </c>
      <c r="K5">
        <f t="shared" si="5"/>
        <v>0</v>
      </c>
      <c r="L5">
        <f t="shared" si="6"/>
        <v>0</v>
      </c>
    </row>
    <row r="6" spans="2:12" x14ac:dyDescent="0.75">
      <c r="B6">
        <f>Illustration_Calculator!B9</f>
        <v>61</v>
      </c>
      <c r="C6">
        <f t="shared" si="7"/>
        <v>64</v>
      </c>
      <c r="D6">
        <v>4</v>
      </c>
      <c r="E6" t="s">
        <v>24</v>
      </c>
      <c r="F6">
        <f t="shared" si="0"/>
        <v>0</v>
      </c>
      <c r="G6">
        <f t="shared" si="1"/>
        <v>0</v>
      </c>
      <c r="H6">
        <f t="shared" si="2"/>
        <v>0</v>
      </c>
      <c r="I6">
        <f t="shared" si="3"/>
        <v>64000</v>
      </c>
      <c r="J6">
        <f t="shared" si="4"/>
        <v>0</v>
      </c>
      <c r="K6">
        <f t="shared" si="5"/>
        <v>0</v>
      </c>
      <c r="L6">
        <f t="shared" si="6"/>
        <v>0</v>
      </c>
    </row>
    <row r="7" spans="2:12" x14ac:dyDescent="0.75">
      <c r="C7">
        <f t="shared" si="7"/>
        <v>65</v>
      </c>
      <c r="D7">
        <v>5</v>
      </c>
      <c r="E7" t="s">
        <v>25</v>
      </c>
      <c r="F7">
        <f t="shared" si="0"/>
        <v>0</v>
      </c>
      <c r="G7">
        <f t="shared" si="1"/>
        <v>25000</v>
      </c>
      <c r="H7">
        <f t="shared" si="2"/>
        <v>0</v>
      </c>
      <c r="I7">
        <f t="shared" si="3"/>
        <v>65000</v>
      </c>
      <c r="J7">
        <f t="shared" si="4"/>
        <v>0</v>
      </c>
      <c r="K7">
        <f t="shared" si="5"/>
        <v>0</v>
      </c>
      <c r="L7">
        <f t="shared" si="6"/>
        <v>0</v>
      </c>
    </row>
    <row r="8" spans="2:12" x14ac:dyDescent="0.75">
      <c r="B8" t="s">
        <v>26</v>
      </c>
      <c r="C8">
        <f t="shared" si="7"/>
        <v>66</v>
      </c>
      <c r="D8">
        <v>6</v>
      </c>
      <c r="E8" t="s">
        <v>27</v>
      </c>
      <c r="F8">
        <f t="shared" si="0"/>
        <v>0</v>
      </c>
      <c r="G8">
        <f t="shared" si="1"/>
        <v>26000</v>
      </c>
      <c r="H8">
        <f t="shared" si="2"/>
        <v>0</v>
      </c>
      <c r="I8">
        <f t="shared" si="3"/>
        <v>66000</v>
      </c>
      <c r="J8">
        <f t="shared" si="4"/>
        <v>0</v>
      </c>
      <c r="K8">
        <f t="shared" si="5"/>
        <v>0</v>
      </c>
      <c r="L8">
        <f t="shared" si="6"/>
        <v>0</v>
      </c>
    </row>
    <row r="9" spans="2:12" x14ac:dyDescent="0.75">
      <c r="B9">
        <f>Illustration_Calculator!B12</f>
        <v>70</v>
      </c>
      <c r="C9">
        <f t="shared" si="7"/>
        <v>67</v>
      </c>
      <c r="D9">
        <v>7</v>
      </c>
      <c r="E9" t="s">
        <v>28</v>
      </c>
      <c r="F9">
        <f t="shared" si="0"/>
        <v>0</v>
      </c>
      <c r="G9">
        <f t="shared" si="1"/>
        <v>27000</v>
      </c>
      <c r="H9">
        <f t="shared" si="2"/>
        <v>0</v>
      </c>
      <c r="I9">
        <f t="shared" si="3"/>
        <v>67000</v>
      </c>
      <c r="J9">
        <f t="shared" si="4"/>
        <v>0</v>
      </c>
      <c r="K9">
        <f t="shared" si="5"/>
        <v>0</v>
      </c>
      <c r="L9">
        <f t="shared" si="6"/>
        <v>0</v>
      </c>
    </row>
    <row r="10" spans="2:12" x14ac:dyDescent="0.75">
      <c r="C10">
        <f t="shared" si="7"/>
        <v>68</v>
      </c>
      <c r="D10">
        <v>8</v>
      </c>
      <c r="E10" t="s">
        <v>29</v>
      </c>
      <c r="F10">
        <f t="shared" si="0"/>
        <v>0</v>
      </c>
      <c r="G10">
        <f t="shared" si="1"/>
        <v>28000</v>
      </c>
      <c r="H10">
        <f t="shared" si="2"/>
        <v>0</v>
      </c>
      <c r="I10">
        <f t="shared" si="3"/>
        <v>68000</v>
      </c>
      <c r="J10">
        <f t="shared" si="4"/>
        <v>0</v>
      </c>
      <c r="K10">
        <f t="shared" si="5"/>
        <v>0</v>
      </c>
      <c r="L10">
        <f t="shared" si="6"/>
        <v>0</v>
      </c>
    </row>
    <row r="11" spans="2:12" x14ac:dyDescent="0.75">
      <c r="C11">
        <f t="shared" si="7"/>
        <v>69</v>
      </c>
      <c r="D11">
        <v>9</v>
      </c>
      <c r="E11" t="s">
        <v>30</v>
      </c>
      <c r="F11">
        <f t="shared" si="0"/>
        <v>0</v>
      </c>
      <c r="G11">
        <f t="shared" si="1"/>
        <v>29000</v>
      </c>
      <c r="H11">
        <f t="shared" si="2"/>
        <v>0</v>
      </c>
      <c r="I11">
        <f t="shared" si="3"/>
        <v>69000</v>
      </c>
      <c r="J11">
        <f t="shared" si="4"/>
        <v>0</v>
      </c>
      <c r="K11">
        <f t="shared" si="5"/>
        <v>0</v>
      </c>
      <c r="L11">
        <f t="shared" si="6"/>
        <v>0</v>
      </c>
    </row>
    <row r="12" spans="2:12" x14ac:dyDescent="0.75">
      <c r="C12">
        <f t="shared" si="7"/>
        <v>70</v>
      </c>
      <c r="D12">
        <v>10</v>
      </c>
      <c r="E12" t="s">
        <v>31</v>
      </c>
      <c r="F12">
        <f t="shared" si="0"/>
        <v>15000</v>
      </c>
      <c r="G12">
        <f t="shared" si="1"/>
        <v>30000</v>
      </c>
      <c r="H12">
        <f t="shared" si="2"/>
        <v>7200</v>
      </c>
      <c r="I12">
        <f t="shared" si="3"/>
        <v>70000</v>
      </c>
      <c r="J12">
        <f t="shared" si="4"/>
        <v>19000</v>
      </c>
      <c r="K12">
        <f t="shared" si="5"/>
        <v>10000</v>
      </c>
      <c r="L12">
        <f t="shared" si="6"/>
        <v>30000</v>
      </c>
    </row>
    <row r="13" spans="2:12" x14ac:dyDescent="0.75">
      <c r="C13">
        <f t="shared" si="7"/>
        <v>71</v>
      </c>
      <c r="D13">
        <v>11</v>
      </c>
      <c r="E13" t="s">
        <v>32</v>
      </c>
      <c r="F13">
        <f t="shared" si="0"/>
        <v>15000</v>
      </c>
      <c r="G13">
        <f t="shared" si="1"/>
        <v>31000</v>
      </c>
      <c r="H13">
        <f t="shared" si="2"/>
        <v>7200</v>
      </c>
      <c r="I13">
        <f t="shared" si="3"/>
        <v>71000</v>
      </c>
      <c r="J13">
        <f t="shared" si="4"/>
        <v>19000</v>
      </c>
      <c r="K13">
        <f t="shared" si="5"/>
        <v>10000</v>
      </c>
      <c r="L13">
        <f t="shared" si="6"/>
        <v>0</v>
      </c>
    </row>
    <row r="14" spans="2:12" x14ac:dyDescent="0.75">
      <c r="C14">
        <f t="shared" si="7"/>
        <v>72</v>
      </c>
      <c r="D14">
        <v>12</v>
      </c>
      <c r="E14" t="s">
        <v>33</v>
      </c>
      <c r="F14">
        <f t="shared" si="0"/>
        <v>15000</v>
      </c>
      <c r="G14">
        <f t="shared" si="1"/>
        <v>32000</v>
      </c>
      <c r="H14">
        <f t="shared" si="2"/>
        <v>7200</v>
      </c>
      <c r="I14">
        <f t="shared" si="3"/>
        <v>72000</v>
      </c>
      <c r="J14">
        <f t="shared" si="4"/>
        <v>19000</v>
      </c>
      <c r="K14">
        <f t="shared" si="5"/>
        <v>10000</v>
      </c>
      <c r="L14">
        <f t="shared" si="6"/>
        <v>30000</v>
      </c>
    </row>
    <row r="15" spans="2:12" x14ac:dyDescent="0.75">
      <c r="C15">
        <f t="shared" si="7"/>
        <v>73</v>
      </c>
      <c r="D15">
        <v>13</v>
      </c>
      <c r="E15" t="s">
        <v>34</v>
      </c>
      <c r="F15">
        <f t="shared" si="0"/>
        <v>15000</v>
      </c>
      <c r="G15">
        <f t="shared" si="1"/>
        <v>33000</v>
      </c>
      <c r="H15">
        <f t="shared" si="2"/>
        <v>7200</v>
      </c>
      <c r="I15">
        <f t="shared" si="3"/>
        <v>73000</v>
      </c>
      <c r="J15">
        <f t="shared" si="4"/>
        <v>19000</v>
      </c>
      <c r="K15">
        <f t="shared" si="5"/>
        <v>10000</v>
      </c>
      <c r="L15">
        <f t="shared" si="6"/>
        <v>0</v>
      </c>
    </row>
    <row r="16" spans="2:12" x14ac:dyDescent="0.75">
      <c r="C16">
        <f t="shared" si="7"/>
        <v>74</v>
      </c>
      <c r="D16">
        <v>14</v>
      </c>
      <c r="E16" t="s">
        <v>35</v>
      </c>
      <c r="F16">
        <f t="shared" si="0"/>
        <v>15000</v>
      </c>
      <c r="G16">
        <f t="shared" si="1"/>
        <v>34000</v>
      </c>
      <c r="H16">
        <f t="shared" si="2"/>
        <v>7200</v>
      </c>
      <c r="I16">
        <f t="shared" si="3"/>
        <v>74000</v>
      </c>
      <c r="J16">
        <f t="shared" si="4"/>
        <v>19000</v>
      </c>
      <c r="K16">
        <f t="shared" si="5"/>
        <v>10000</v>
      </c>
      <c r="L16">
        <f t="shared" si="6"/>
        <v>30000</v>
      </c>
    </row>
    <row r="17" spans="3:12" x14ac:dyDescent="0.75">
      <c r="C17">
        <f t="shared" si="7"/>
        <v>75</v>
      </c>
      <c r="D17">
        <v>15</v>
      </c>
      <c r="E17" t="s">
        <v>36</v>
      </c>
      <c r="F17">
        <f t="shared" si="0"/>
        <v>15000</v>
      </c>
      <c r="G17">
        <f t="shared" si="1"/>
        <v>35000</v>
      </c>
      <c r="H17">
        <f t="shared" si="2"/>
        <v>7200</v>
      </c>
      <c r="I17">
        <f t="shared" si="3"/>
        <v>75000</v>
      </c>
      <c r="J17">
        <f t="shared" si="4"/>
        <v>25000</v>
      </c>
      <c r="K17">
        <f t="shared" si="5"/>
        <v>10000</v>
      </c>
      <c r="L17">
        <f t="shared" si="6"/>
        <v>0</v>
      </c>
    </row>
    <row r="18" spans="3:12" x14ac:dyDescent="0.75">
      <c r="C18">
        <f t="shared" si="7"/>
        <v>76</v>
      </c>
      <c r="D18">
        <v>16</v>
      </c>
      <c r="E18" t="s">
        <v>37</v>
      </c>
      <c r="F18">
        <f t="shared" si="0"/>
        <v>15000</v>
      </c>
      <c r="G18">
        <f t="shared" si="1"/>
        <v>36000</v>
      </c>
      <c r="H18">
        <f t="shared" si="2"/>
        <v>7200</v>
      </c>
      <c r="I18">
        <f t="shared" si="3"/>
        <v>76000</v>
      </c>
      <c r="J18">
        <f t="shared" si="4"/>
        <v>25000</v>
      </c>
      <c r="K18">
        <f t="shared" si="5"/>
        <v>10000</v>
      </c>
      <c r="L18">
        <f t="shared" si="6"/>
        <v>30000</v>
      </c>
    </row>
    <row r="19" spans="3:12" x14ac:dyDescent="0.75">
      <c r="C19">
        <f t="shared" si="7"/>
        <v>77</v>
      </c>
      <c r="D19">
        <v>17</v>
      </c>
      <c r="E19" t="s">
        <v>38</v>
      </c>
      <c r="F19">
        <f t="shared" si="0"/>
        <v>15000</v>
      </c>
      <c r="G19">
        <f t="shared" si="1"/>
        <v>37000</v>
      </c>
      <c r="H19">
        <f t="shared" si="2"/>
        <v>7200</v>
      </c>
      <c r="I19">
        <f t="shared" si="3"/>
        <v>77000</v>
      </c>
      <c r="J19">
        <f t="shared" si="4"/>
        <v>25000</v>
      </c>
      <c r="K19">
        <f t="shared" si="5"/>
        <v>10000</v>
      </c>
      <c r="L19">
        <f t="shared" si="6"/>
        <v>0</v>
      </c>
    </row>
    <row r="20" spans="3:12" x14ac:dyDescent="0.75">
      <c r="C20">
        <f t="shared" si="7"/>
        <v>78</v>
      </c>
      <c r="D20">
        <v>18</v>
      </c>
      <c r="E20" t="s">
        <v>39</v>
      </c>
      <c r="F20">
        <f t="shared" si="0"/>
        <v>15000</v>
      </c>
      <c r="G20">
        <f t="shared" si="1"/>
        <v>38000</v>
      </c>
      <c r="H20">
        <f t="shared" si="2"/>
        <v>7200</v>
      </c>
      <c r="I20">
        <f t="shared" si="3"/>
        <v>78000</v>
      </c>
      <c r="J20">
        <f t="shared" si="4"/>
        <v>25000</v>
      </c>
      <c r="K20">
        <f t="shared" si="5"/>
        <v>10000</v>
      </c>
      <c r="L20">
        <f t="shared" si="6"/>
        <v>30000</v>
      </c>
    </row>
    <row r="21" spans="3:12" x14ac:dyDescent="0.75">
      <c r="C21">
        <f t="shared" si="7"/>
        <v>79</v>
      </c>
      <c r="D21">
        <v>19</v>
      </c>
      <c r="E21" t="s">
        <v>40</v>
      </c>
      <c r="F21">
        <f t="shared" si="0"/>
        <v>15000</v>
      </c>
      <c r="G21">
        <f t="shared" si="1"/>
        <v>39000</v>
      </c>
      <c r="H21">
        <f t="shared" si="2"/>
        <v>7200</v>
      </c>
      <c r="I21">
        <f t="shared" si="3"/>
        <v>79000</v>
      </c>
      <c r="J21">
        <f t="shared" si="4"/>
        <v>25000</v>
      </c>
      <c r="K21">
        <f t="shared" si="5"/>
        <v>10000</v>
      </c>
      <c r="L21">
        <f t="shared" si="6"/>
        <v>0</v>
      </c>
    </row>
    <row r="22" spans="3:12" x14ac:dyDescent="0.75">
      <c r="C22">
        <f t="shared" si="7"/>
        <v>80</v>
      </c>
      <c r="D22">
        <v>20</v>
      </c>
      <c r="E22" t="s">
        <v>41</v>
      </c>
      <c r="F22">
        <f t="shared" si="0"/>
        <v>0</v>
      </c>
      <c r="G22">
        <f t="shared" si="1"/>
        <v>40000</v>
      </c>
      <c r="H22">
        <f t="shared" si="2"/>
        <v>7200</v>
      </c>
      <c r="I22">
        <f t="shared" si="3"/>
        <v>80000</v>
      </c>
      <c r="J22">
        <f t="shared" si="4"/>
        <v>0</v>
      </c>
      <c r="K22">
        <f t="shared" si="5"/>
        <v>0</v>
      </c>
      <c r="L22">
        <f t="shared" si="6"/>
        <v>0</v>
      </c>
    </row>
    <row r="23" spans="3:12" x14ac:dyDescent="0.75">
      <c r="C23">
        <f t="shared" si="7"/>
        <v>81</v>
      </c>
      <c r="D23">
        <v>21</v>
      </c>
      <c r="E23" t="s">
        <v>42</v>
      </c>
      <c r="F23">
        <f t="shared" si="0"/>
        <v>0</v>
      </c>
      <c r="G23">
        <f t="shared" si="1"/>
        <v>41000</v>
      </c>
      <c r="H23">
        <f t="shared" si="2"/>
        <v>7200</v>
      </c>
      <c r="I23">
        <f t="shared" si="3"/>
        <v>81000</v>
      </c>
      <c r="J23">
        <f t="shared" si="4"/>
        <v>0</v>
      </c>
      <c r="K23">
        <f t="shared" si="5"/>
        <v>0</v>
      </c>
      <c r="L23">
        <f t="shared" si="6"/>
        <v>0</v>
      </c>
    </row>
    <row r="24" spans="3:12" x14ac:dyDescent="0.75">
      <c r="C24">
        <f t="shared" si="7"/>
        <v>82</v>
      </c>
      <c r="D24">
        <v>22</v>
      </c>
      <c r="E24" t="s">
        <v>43</v>
      </c>
      <c r="F24">
        <f t="shared" si="0"/>
        <v>0</v>
      </c>
      <c r="G24">
        <f t="shared" si="1"/>
        <v>42000</v>
      </c>
      <c r="H24">
        <f t="shared" si="2"/>
        <v>7200</v>
      </c>
      <c r="I24">
        <f t="shared" si="3"/>
        <v>82000</v>
      </c>
      <c r="J24">
        <f t="shared" si="4"/>
        <v>0</v>
      </c>
      <c r="K24">
        <f t="shared" si="5"/>
        <v>0</v>
      </c>
      <c r="L24">
        <f t="shared" si="6"/>
        <v>0</v>
      </c>
    </row>
    <row r="25" spans="3:12" x14ac:dyDescent="0.75">
      <c r="C25">
        <f t="shared" si="7"/>
        <v>83</v>
      </c>
      <c r="D25">
        <v>23</v>
      </c>
      <c r="E25" t="s">
        <v>44</v>
      </c>
      <c r="F25">
        <f t="shared" si="0"/>
        <v>0</v>
      </c>
      <c r="G25">
        <f t="shared" si="1"/>
        <v>43000</v>
      </c>
      <c r="H25">
        <f t="shared" si="2"/>
        <v>7200</v>
      </c>
      <c r="I25">
        <f t="shared" si="3"/>
        <v>83000</v>
      </c>
      <c r="J25">
        <f t="shared" si="4"/>
        <v>0</v>
      </c>
      <c r="K25">
        <f t="shared" si="5"/>
        <v>0</v>
      </c>
      <c r="L25">
        <f t="shared" si="6"/>
        <v>0</v>
      </c>
    </row>
    <row r="26" spans="3:12" x14ac:dyDescent="0.75">
      <c r="C26">
        <f t="shared" si="7"/>
        <v>84</v>
      </c>
      <c r="D26">
        <v>24</v>
      </c>
      <c r="E26" t="s">
        <v>45</v>
      </c>
      <c r="F26">
        <f t="shared" si="0"/>
        <v>0</v>
      </c>
      <c r="G26">
        <f t="shared" si="1"/>
        <v>44000</v>
      </c>
      <c r="H26">
        <f t="shared" si="2"/>
        <v>7200</v>
      </c>
      <c r="I26">
        <f t="shared" si="3"/>
        <v>84000</v>
      </c>
      <c r="J26">
        <f t="shared" si="4"/>
        <v>0</v>
      </c>
      <c r="K26">
        <f t="shared" si="5"/>
        <v>0</v>
      </c>
      <c r="L26">
        <f t="shared" si="6"/>
        <v>0</v>
      </c>
    </row>
    <row r="27" spans="3:12" x14ac:dyDescent="0.75">
      <c r="C27">
        <f t="shared" si="7"/>
        <v>85</v>
      </c>
      <c r="D27">
        <v>25</v>
      </c>
      <c r="E27" t="s">
        <v>46</v>
      </c>
      <c r="F27">
        <f t="shared" si="0"/>
        <v>0</v>
      </c>
      <c r="G27">
        <f t="shared" si="1"/>
        <v>45000</v>
      </c>
      <c r="H27">
        <f t="shared" si="2"/>
        <v>7200</v>
      </c>
      <c r="I27">
        <f t="shared" si="3"/>
        <v>85000</v>
      </c>
      <c r="J27">
        <f t="shared" si="4"/>
        <v>0</v>
      </c>
      <c r="K27">
        <f t="shared" si="5"/>
        <v>0</v>
      </c>
      <c r="L27">
        <f t="shared" si="6"/>
        <v>0</v>
      </c>
    </row>
    <row r="28" spans="3:12" x14ac:dyDescent="0.75">
      <c r="C28">
        <f t="shared" si="7"/>
        <v>86</v>
      </c>
      <c r="D28">
        <v>26</v>
      </c>
      <c r="E28" t="s">
        <v>47</v>
      </c>
      <c r="F28">
        <f t="shared" si="0"/>
        <v>0</v>
      </c>
      <c r="G28">
        <f t="shared" si="1"/>
        <v>46000</v>
      </c>
      <c r="H28">
        <f t="shared" si="2"/>
        <v>7200</v>
      </c>
      <c r="I28">
        <f t="shared" si="3"/>
        <v>86000</v>
      </c>
      <c r="J28">
        <f t="shared" si="4"/>
        <v>0</v>
      </c>
      <c r="K28">
        <f t="shared" si="5"/>
        <v>0</v>
      </c>
      <c r="L28">
        <f t="shared" si="6"/>
        <v>0</v>
      </c>
    </row>
    <row r="29" spans="3:12" x14ac:dyDescent="0.75">
      <c r="C29">
        <f t="shared" si="7"/>
        <v>87</v>
      </c>
      <c r="D29">
        <v>27</v>
      </c>
      <c r="E29" t="s">
        <v>48</v>
      </c>
      <c r="F29">
        <f t="shared" si="0"/>
        <v>0</v>
      </c>
      <c r="G29">
        <f t="shared" si="1"/>
        <v>47000</v>
      </c>
      <c r="H29">
        <f t="shared" si="2"/>
        <v>7200</v>
      </c>
      <c r="I29">
        <f t="shared" si="3"/>
        <v>87000</v>
      </c>
      <c r="J29">
        <f t="shared" si="4"/>
        <v>0</v>
      </c>
      <c r="K29">
        <f t="shared" si="5"/>
        <v>0</v>
      </c>
      <c r="L29">
        <f t="shared" si="6"/>
        <v>0</v>
      </c>
    </row>
    <row r="30" spans="3:12" x14ac:dyDescent="0.75">
      <c r="C30">
        <f t="shared" si="7"/>
        <v>88</v>
      </c>
      <c r="D30">
        <v>28</v>
      </c>
      <c r="E30" t="s">
        <v>49</v>
      </c>
      <c r="F30">
        <f t="shared" si="0"/>
        <v>0</v>
      </c>
      <c r="G30">
        <f t="shared" si="1"/>
        <v>48000</v>
      </c>
      <c r="H30">
        <f t="shared" si="2"/>
        <v>7200</v>
      </c>
      <c r="I30">
        <f t="shared" si="3"/>
        <v>88000</v>
      </c>
      <c r="J30">
        <f t="shared" si="4"/>
        <v>0</v>
      </c>
      <c r="K30">
        <f t="shared" si="5"/>
        <v>0</v>
      </c>
      <c r="L30">
        <f t="shared" si="6"/>
        <v>0</v>
      </c>
    </row>
    <row r="31" spans="3:12" x14ac:dyDescent="0.75">
      <c r="C31">
        <f t="shared" si="7"/>
        <v>89</v>
      </c>
      <c r="D31">
        <v>29</v>
      </c>
      <c r="E31" t="s">
        <v>50</v>
      </c>
      <c r="F31">
        <f t="shared" si="0"/>
        <v>0</v>
      </c>
      <c r="G31">
        <f t="shared" si="1"/>
        <v>49000</v>
      </c>
      <c r="H31">
        <f t="shared" si="2"/>
        <v>7200</v>
      </c>
      <c r="I31">
        <f t="shared" si="3"/>
        <v>89000</v>
      </c>
      <c r="J31">
        <f t="shared" si="4"/>
        <v>0</v>
      </c>
      <c r="K31">
        <f t="shared" si="5"/>
        <v>0</v>
      </c>
      <c r="L31">
        <f t="shared" si="6"/>
        <v>0</v>
      </c>
    </row>
    <row r="32" spans="3:12" x14ac:dyDescent="0.75">
      <c r="C32">
        <f t="shared" si="7"/>
        <v>90</v>
      </c>
      <c r="D32">
        <v>30</v>
      </c>
      <c r="E32" t="s">
        <v>51</v>
      </c>
      <c r="F32">
        <f t="shared" si="0"/>
        <v>0</v>
      </c>
      <c r="G32">
        <f t="shared" si="1"/>
        <v>50000</v>
      </c>
      <c r="H32">
        <f t="shared" si="2"/>
        <v>7200</v>
      </c>
      <c r="I32">
        <f t="shared" si="3"/>
        <v>90000</v>
      </c>
      <c r="J32">
        <f t="shared" si="4"/>
        <v>0</v>
      </c>
      <c r="K32">
        <f t="shared" si="5"/>
        <v>0</v>
      </c>
      <c r="L32">
        <f t="shared" si="6"/>
        <v>0</v>
      </c>
    </row>
    <row r="33" spans="3:12" x14ac:dyDescent="0.75">
      <c r="C33">
        <f t="shared" si="7"/>
        <v>91</v>
      </c>
      <c r="D33">
        <v>31</v>
      </c>
      <c r="E33" t="s">
        <v>52</v>
      </c>
      <c r="F33">
        <f t="shared" si="0"/>
        <v>0</v>
      </c>
      <c r="G33">
        <f t="shared" si="1"/>
        <v>51000</v>
      </c>
      <c r="H33">
        <f t="shared" si="2"/>
        <v>7200</v>
      </c>
      <c r="I33">
        <f t="shared" si="3"/>
        <v>91000</v>
      </c>
      <c r="J33">
        <f t="shared" si="4"/>
        <v>0</v>
      </c>
      <c r="K33">
        <f t="shared" si="5"/>
        <v>0</v>
      </c>
      <c r="L33">
        <f t="shared" si="6"/>
        <v>0</v>
      </c>
    </row>
    <row r="34" spans="3:12" x14ac:dyDescent="0.75">
      <c r="C34">
        <f t="shared" si="7"/>
        <v>92</v>
      </c>
      <c r="D34">
        <v>32</v>
      </c>
      <c r="E34" t="s">
        <v>53</v>
      </c>
      <c r="F34">
        <f t="shared" si="0"/>
        <v>0</v>
      </c>
      <c r="G34">
        <f t="shared" si="1"/>
        <v>52000</v>
      </c>
      <c r="H34">
        <f t="shared" si="2"/>
        <v>7200</v>
      </c>
      <c r="I34">
        <f t="shared" si="3"/>
        <v>92000</v>
      </c>
      <c r="J34">
        <f t="shared" si="4"/>
        <v>0</v>
      </c>
      <c r="K34">
        <f t="shared" si="5"/>
        <v>0</v>
      </c>
      <c r="L34">
        <f t="shared" si="6"/>
        <v>0</v>
      </c>
    </row>
    <row r="35" spans="3:12" x14ac:dyDescent="0.75">
      <c r="C35">
        <f t="shared" si="7"/>
        <v>93</v>
      </c>
      <c r="D35">
        <v>33</v>
      </c>
      <c r="E35" t="s">
        <v>54</v>
      </c>
      <c r="F35">
        <f t="shared" ref="F35:F66" si="8">IF(AND($B$6+D35-1&gt;=$B$9,$B$6+D35-1&lt;$B$9+$B$3),15000,0)</f>
        <v>0</v>
      </c>
      <c r="G35">
        <f t="shared" ref="G35:G66" si="9">IF($B$6+D35-1&lt; 95, IF($B$6+D35-1=65, 25000, IF($B$6+D35-1&gt;65, 25000+1000*($B$6+D35-1-65), 0)), 0)</f>
        <v>53000</v>
      </c>
      <c r="H35">
        <f t="shared" ref="H35:H66" si="10">IF(OR($B$6+D35-1&lt;$B$9, $B$6+D35-1&gt;110),0,7200)</f>
        <v>7200</v>
      </c>
      <c r="I35">
        <f t="shared" ref="I35:I63" si="11">IF(AND($B$6+D35-1 &gt;=60, $B$6+D35&lt;=100),($B$6+D35-1)*1000,0)</f>
        <v>93000</v>
      </c>
      <c r="J35">
        <f t="shared" ref="J35:J66" si="12">IF(AND($B$6+D35-1&gt;=$B$9, $B$6+D35-1&lt;$B$9+$B$3), IF($B$6+D35-1&lt;($B$9+$B$3/2), 19000, 25000), 0)</f>
        <v>0</v>
      </c>
      <c r="K35">
        <f t="shared" ref="K35:K66" si="13">IF(AND($B$6+D35-1&gt;=$B$9, $B$6+D35-1&lt;($B$9+$B$3)), 100000/$B$3, 0)</f>
        <v>0</v>
      </c>
      <c r="L35">
        <f t="shared" ref="L35:L66" si="14">IF(AND($B$6+D35-1&gt;=$B$9, $B$6+D35-1&lt;$B$9+$B$3), IF(AND(ISEVEN($B$6+D35-1), ISEVEN($B$9)), 30000, IF(AND(ISODD($B$6+D35-1), ISODD($B$9)), 30000, 0)), 0)</f>
        <v>0</v>
      </c>
    </row>
    <row r="36" spans="3:12" x14ac:dyDescent="0.75">
      <c r="C36">
        <f t="shared" ref="C36:C67" si="15">C35+1</f>
        <v>94</v>
      </c>
      <c r="D36">
        <v>34</v>
      </c>
      <c r="E36" t="s">
        <v>55</v>
      </c>
      <c r="F36">
        <f t="shared" si="8"/>
        <v>0</v>
      </c>
      <c r="G36">
        <f t="shared" si="9"/>
        <v>54000</v>
      </c>
      <c r="H36">
        <f t="shared" si="10"/>
        <v>7200</v>
      </c>
      <c r="I36">
        <f t="shared" si="11"/>
        <v>94000</v>
      </c>
      <c r="J36">
        <f t="shared" si="12"/>
        <v>0</v>
      </c>
      <c r="K36">
        <f t="shared" si="13"/>
        <v>0</v>
      </c>
      <c r="L36">
        <f t="shared" si="14"/>
        <v>0</v>
      </c>
    </row>
    <row r="37" spans="3:12" x14ac:dyDescent="0.75">
      <c r="C37">
        <f t="shared" si="15"/>
        <v>95</v>
      </c>
      <c r="D37">
        <v>35</v>
      </c>
      <c r="E37" t="s">
        <v>56</v>
      </c>
      <c r="F37">
        <f t="shared" si="8"/>
        <v>0</v>
      </c>
      <c r="G37">
        <f t="shared" si="9"/>
        <v>0</v>
      </c>
      <c r="H37">
        <f t="shared" si="10"/>
        <v>7200</v>
      </c>
      <c r="I37">
        <f t="shared" si="11"/>
        <v>95000</v>
      </c>
      <c r="J37">
        <f t="shared" si="12"/>
        <v>0</v>
      </c>
      <c r="K37">
        <f t="shared" si="13"/>
        <v>0</v>
      </c>
      <c r="L37">
        <f t="shared" si="14"/>
        <v>0</v>
      </c>
    </row>
    <row r="38" spans="3:12" x14ac:dyDescent="0.75">
      <c r="C38">
        <f t="shared" si="15"/>
        <v>96</v>
      </c>
      <c r="D38">
        <v>36</v>
      </c>
      <c r="E38" t="s">
        <v>57</v>
      </c>
      <c r="F38">
        <f t="shared" si="8"/>
        <v>0</v>
      </c>
      <c r="G38">
        <f t="shared" si="9"/>
        <v>0</v>
      </c>
      <c r="H38">
        <f t="shared" si="10"/>
        <v>7200</v>
      </c>
      <c r="I38">
        <f t="shared" si="11"/>
        <v>96000</v>
      </c>
      <c r="J38">
        <f t="shared" si="12"/>
        <v>0</v>
      </c>
      <c r="K38">
        <f t="shared" si="13"/>
        <v>0</v>
      </c>
      <c r="L38">
        <f t="shared" si="14"/>
        <v>0</v>
      </c>
    </row>
    <row r="39" spans="3:12" x14ac:dyDescent="0.75">
      <c r="C39">
        <f t="shared" si="15"/>
        <v>97</v>
      </c>
      <c r="D39">
        <v>37</v>
      </c>
      <c r="E39" t="s">
        <v>58</v>
      </c>
      <c r="F39">
        <f t="shared" si="8"/>
        <v>0</v>
      </c>
      <c r="G39">
        <f t="shared" si="9"/>
        <v>0</v>
      </c>
      <c r="H39">
        <f t="shared" si="10"/>
        <v>7200</v>
      </c>
      <c r="I39">
        <f t="shared" si="11"/>
        <v>97000</v>
      </c>
      <c r="J39">
        <f t="shared" si="12"/>
        <v>0</v>
      </c>
      <c r="K39">
        <f t="shared" si="13"/>
        <v>0</v>
      </c>
      <c r="L39">
        <f t="shared" si="14"/>
        <v>0</v>
      </c>
    </row>
    <row r="40" spans="3:12" x14ac:dyDescent="0.75">
      <c r="C40">
        <f t="shared" si="15"/>
        <v>98</v>
      </c>
      <c r="D40">
        <v>38</v>
      </c>
      <c r="E40" t="s">
        <v>59</v>
      </c>
      <c r="F40">
        <f t="shared" si="8"/>
        <v>0</v>
      </c>
      <c r="G40">
        <f t="shared" si="9"/>
        <v>0</v>
      </c>
      <c r="H40">
        <f t="shared" si="10"/>
        <v>7200</v>
      </c>
      <c r="I40">
        <f t="shared" si="11"/>
        <v>98000</v>
      </c>
      <c r="J40">
        <f t="shared" si="12"/>
        <v>0</v>
      </c>
      <c r="K40">
        <f t="shared" si="13"/>
        <v>0</v>
      </c>
      <c r="L40">
        <f t="shared" si="14"/>
        <v>0</v>
      </c>
    </row>
    <row r="41" spans="3:12" x14ac:dyDescent="0.75">
      <c r="C41">
        <f t="shared" si="15"/>
        <v>99</v>
      </c>
      <c r="D41">
        <v>39</v>
      </c>
      <c r="E41" t="s">
        <v>60</v>
      </c>
      <c r="F41">
        <f t="shared" si="8"/>
        <v>0</v>
      </c>
      <c r="G41">
        <f t="shared" si="9"/>
        <v>0</v>
      </c>
      <c r="H41">
        <f t="shared" si="10"/>
        <v>7200</v>
      </c>
      <c r="I41">
        <f t="shared" si="11"/>
        <v>99000</v>
      </c>
      <c r="J41">
        <f t="shared" si="12"/>
        <v>0</v>
      </c>
      <c r="K41">
        <f t="shared" si="13"/>
        <v>0</v>
      </c>
      <c r="L41">
        <f t="shared" si="14"/>
        <v>0</v>
      </c>
    </row>
    <row r="42" spans="3:12" x14ac:dyDescent="0.75">
      <c r="C42">
        <f t="shared" si="15"/>
        <v>100</v>
      </c>
      <c r="D42">
        <v>40</v>
      </c>
      <c r="E42" t="s">
        <v>61</v>
      </c>
      <c r="F42">
        <f t="shared" si="8"/>
        <v>0</v>
      </c>
      <c r="G42">
        <f t="shared" si="9"/>
        <v>0</v>
      </c>
      <c r="H42">
        <f t="shared" si="10"/>
        <v>7200</v>
      </c>
      <c r="I42">
        <f t="shared" si="11"/>
        <v>0</v>
      </c>
      <c r="J42">
        <f t="shared" si="12"/>
        <v>0</v>
      </c>
      <c r="K42">
        <f t="shared" si="13"/>
        <v>0</v>
      </c>
      <c r="L42">
        <f t="shared" si="14"/>
        <v>0</v>
      </c>
    </row>
    <row r="43" spans="3:12" x14ac:dyDescent="0.75">
      <c r="C43">
        <f t="shared" si="15"/>
        <v>101</v>
      </c>
      <c r="D43">
        <v>41</v>
      </c>
      <c r="E43" t="s">
        <v>62</v>
      </c>
      <c r="F43">
        <f t="shared" si="8"/>
        <v>0</v>
      </c>
      <c r="G43">
        <f t="shared" si="9"/>
        <v>0</v>
      </c>
      <c r="H43">
        <f t="shared" si="10"/>
        <v>7200</v>
      </c>
      <c r="I43">
        <f t="shared" si="11"/>
        <v>0</v>
      </c>
      <c r="J43">
        <f t="shared" si="12"/>
        <v>0</v>
      </c>
      <c r="K43">
        <f t="shared" si="13"/>
        <v>0</v>
      </c>
      <c r="L43">
        <f t="shared" si="14"/>
        <v>0</v>
      </c>
    </row>
    <row r="44" spans="3:12" x14ac:dyDescent="0.75">
      <c r="C44">
        <f t="shared" si="15"/>
        <v>102</v>
      </c>
      <c r="D44">
        <v>42</v>
      </c>
      <c r="E44" t="s">
        <v>63</v>
      </c>
      <c r="F44">
        <f t="shared" si="8"/>
        <v>0</v>
      </c>
      <c r="G44">
        <f t="shared" si="9"/>
        <v>0</v>
      </c>
      <c r="H44">
        <f t="shared" si="10"/>
        <v>7200</v>
      </c>
      <c r="I44">
        <f t="shared" si="11"/>
        <v>0</v>
      </c>
      <c r="J44">
        <f t="shared" si="12"/>
        <v>0</v>
      </c>
      <c r="K44">
        <f t="shared" si="13"/>
        <v>0</v>
      </c>
      <c r="L44">
        <f t="shared" si="14"/>
        <v>0</v>
      </c>
    </row>
    <row r="45" spans="3:12" x14ac:dyDescent="0.75">
      <c r="C45">
        <f t="shared" si="15"/>
        <v>103</v>
      </c>
      <c r="D45">
        <v>43</v>
      </c>
      <c r="E45" t="s">
        <v>64</v>
      </c>
      <c r="F45">
        <f t="shared" si="8"/>
        <v>0</v>
      </c>
      <c r="G45">
        <f t="shared" si="9"/>
        <v>0</v>
      </c>
      <c r="H45">
        <f t="shared" si="10"/>
        <v>7200</v>
      </c>
      <c r="I45">
        <f t="shared" si="11"/>
        <v>0</v>
      </c>
      <c r="J45">
        <f t="shared" si="12"/>
        <v>0</v>
      </c>
      <c r="K45">
        <f t="shared" si="13"/>
        <v>0</v>
      </c>
      <c r="L45">
        <f t="shared" si="14"/>
        <v>0</v>
      </c>
    </row>
    <row r="46" spans="3:12" x14ac:dyDescent="0.75">
      <c r="C46">
        <f t="shared" si="15"/>
        <v>104</v>
      </c>
      <c r="D46">
        <v>44</v>
      </c>
      <c r="E46" t="s">
        <v>65</v>
      </c>
      <c r="F46">
        <f t="shared" si="8"/>
        <v>0</v>
      </c>
      <c r="G46">
        <f t="shared" si="9"/>
        <v>0</v>
      </c>
      <c r="H46">
        <f t="shared" si="10"/>
        <v>7200</v>
      </c>
      <c r="I46">
        <f t="shared" si="11"/>
        <v>0</v>
      </c>
      <c r="J46">
        <f t="shared" si="12"/>
        <v>0</v>
      </c>
      <c r="K46">
        <f t="shared" si="13"/>
        <v>0</v>
      </c>
      <c r="L46">
        <f t="shared" si="14"/>
        <v>0</v>
      </c>
    </row>
    <row r="47" spans="3:12" x14ac:dyDescent="0.75">
      <c r="C47">
        <f t="shared" si="15"/>
        <v>105</v>
      </c>
      <c r="D47">
        <v>45</v>
      </c>
      <c r="E47" t="s">
        <v>66</v>
      </c>
      <c r="F47">
        <f t="shared" si="8"/>
        <v>0</v>
      </c>
      <c r="G47">
        <f t="shared" si="9"/>
        <v>0</v>
      </c>
      <c r="H47">
        <f t="shared" si="10"/>
        <v>7200</v>
      </c>
      <c r="I47">
        <f t="shared" si="11"/>
        <v>0</v>
      </c>
      <c r="J47">
        <f t="shared" si="12"/>
        <v>0</v>
      </c>
      <c r="K47">
        <f t="shared" si="13"/>
        <v>0</v>
      </c>
      <c r="L47">
        <f t="shared" si="14"/>
        <v>0</v>
      </c>
    </row>
    <row r="48" spans="3:12" x14ac:dyDescent="0.75">
      <c r="C48">
        <f t="shared" si="15"/>
        <v>106</v>
      </c>
      <c r="D48">
        <v>46</v>
      </c>
      <c r="E48" t="s">
        <v>67</v>
      </c>
      <c r="F48">
        <f t="shared" si="8"/>
        <v>0</v>
      </c>
      <c r="G48">
        <f t="shared" si="9"/>
        <v>0</v>
      </c>
      <c r="H48">
        <f t="shared" si="10"/>
        <v>7200</v>
      </c>
      <c r="I48">
        <f t="shared" si="11"/>
        <v>0</v>
      </c>
      <c r="J48">
        <f t="shared" si="12"/>
        <v>0</v>
      </c>
      <c r="K48">
        <f t="shared" si="13"/>
        <v>0</v>
      </c>
      <c r="L48">
        <f t="shared" si="14"/>
        <v>0</v>
      </c>
    </row>
    <row r="49" spans="3:12" x14ac:dyDescent="0.75">
      <c r="C49">
        <f t="shared" si="15"/>
        <v>107</v>
      </c>
      <c r="D49">
        <v>47</v>
      </c>
      <c r="E49" t="s">
        <v>68</v>
      </c>
      <c r="F49">
        <f t="shared" si="8"/>
        <v>0</v>
      </c>
      <c r="G49">
        <f t="shared" si="9"/>
        <v>0</v>
      </c>
      <c r="H49">
        <f t="shared" si="10"/>
        <v>7200</v>
      </c>
      <c r="I49">
        <f t="shared" si="11"/>
        <v>0</v>
      </c>
      <c r="J49">
        <f t="shared" si="12"/>
        <v>0</v>
      </c>
      <c r="K49">
        <f t="shared" si="13"/>
        <v>0</v>
      </c>
      <c r="L49">
        <f t="shared" si="14"/>
        <v>0</v>
      </c>
    </row>
    <row r="50" spans="3:12" x14ac:dyDescent="0.75">
      <c r="C50">
        <f t="shared" si="15"/>
        <v>108</v>
      </c>
      <c r="D50">
        <v>48</v>
      </c>
      <c r="E50" t="s">
        <v>69</v>
      </c>
      <c r="F50">
        <f t="shared" si="8"/>
        <v>0</v>
      </c>
      <c r="G50">
        <f t="shared" si="9"/>
        <v>0</v>
      </c>
      <c r="H50">
        <f t="shared" si="10"/>
        <v>7200</v>
      </c>
      <c r="I50">
        <f t="shared" si="11"/>
        <v>0</v>
      </c>
      <c r="J50">
        <f t="shared" si="12"/>
        <v>0</v>
      </c>
      <c r="K50">
        <f t="shared" si="13"/>
        <v>0</v>
      </c>
      <c r="L50">
        <f t="shared" si="14"/>
        <v>0</v>
      </c>
    </row>
    <row r="51" spans="3:12" x14ac:dyDescent="0.75">
      <c r="C51">
        <f t="shared" si="15"/>
        <v>109</v>
      </c>
      <c r="D51">
        <v>49</v>
      </c>
      <c r="E51" t="s">
        <v>70</v>
      </c>
      <c r="F51">
        <f t="shared" si="8"/>
        <v>0</v>
      </c>
      <c r="G51">
        <f t="shared" si="9"/>
        <v>0</v>
      </c>
      <c r="H51">
        <f t="shared" si="10"/>
        <v>7200</v>
      </c>
      <c r="I51">
        <f t="shared" si="11"/>
        <v>0</v>
      </c>
      <c r="J51">
        <f t="shared" si="12"/>
        <v>0</v>
      </c>
      <c r="K51">
        <f t="shared" si="13"/>
        <v>0</v>
      </c>
      <c r="L51">
        <f t="shared" si="14"/>
        <v>0</v>
      </c>
    </row>
    <row r="52" spans="3:12" x14ac:dyDescent="0.75">
      <c r="C52">
        <f t="shared" si="15"/>
        <v>110</v>
      </c>
      <c r="D52">
        <v>50</v>
      </c>
      <c r="E52" t="s">
        <v>71</v>
      </c>
      <c r="F52">
        <f t="shared" si="8"/>
        <v>0</v>
      </c>
      <c r="G52">
        <f t="shared" si="9"/>
        <v>0</v>
      </c>
      <c r="H52">
        <f t="shared" si="10"/>
        <v>7200</v>
      </c>
      <c r="I52">
        <f t="shared" si="11"/>
        <v>0</v>
      </c>
      <c r="J52">
        <f t="shared" si="12"/>
        <v>0</v>
      </c>
      <c r="K52">
        <f t="shared" si="13"/>
        <v>0</v>
      </c>
      <c r="L52">
        <f t="shared" si="14"/>
        <v>0</v>
      </c>
    </row>
    <row r="53" spans="3:12" x14ac:dyDescent="0.75">
      <c r="C53">
        <f t="shared" si="15"/>
        <v>111</v>
      </c>
      <c r="D53">
        <v>51</v>
      </c>
      <c r="E53" t="s">
        <v>72</v>
      </c>
      <c r="F53">
        <f t="shared" si="8"/>
        <v>0</v>
      </c>
      <c r="G53">
        <f t="shared" si="9"/>
        <v>0</v>
      </c>
      <c r="H53">
        <f t="shared" si="10"/>
        <v>0</v>
      </c>
      <c r="I53">
        <f t="shared" si="11"/>
        <v>0</v>
      </c>
      <c r="J53">
        <f t="shared" si="12"/>
        <v>0</v>
      </c>
      <c r="K53">
        <f t="shared" si="13"/>
        <v>0</v>
      </c>
      <c r="L53">
        <f t="shared" si="14"/>
        <v>0</v>
      </c>
    </row>
    <row r="54" spans="3:12" x14ac:dyDescent="0.75">
      <c r="C54">
        <f t="shared" si="15"/>
        <v>112</v>
      </c>
      <c r="D54">
        <v>52</v>
      </c>
      <c r="E54" t="s">
        <v>73</v>
      </c>
      <c r="F54">
        <f t="shared" si="8"/>
        <v>0</v>
      </c>
      <c r="G54">
        <f t="shared" si="9"/>
        <v>0</v>
      </c>
      <c r="H54">
        <f t="shared" si="10"/>
        <v>0</v>
      </c>
      <c r="I54">
        <f t="shared" si="11"/>
        <v>0</v>
      </c>
      <c r="J54">
        <f t="shared" si="12"/>
        <v>0</v>
      </c>
      <c r="K54">
        <f t="shared" si="13"/>
        <v>0</v>
      </c>
      <c r="L54">
        <f t="shared" si="14"/>
        <v>0</v>
      </c>
    </row>
    <row r="55" spans="3:12" x14ac:dyDescent="0.75">
      <c r="C55">
        <f t="shared" si="15"/>
        <v>113</v>
      </c>
      <c r="D55">
        <v>53</v>
      </c>
      <c r="E55" t="s">
        <v>74</v>
      </c>
      <c r="F55">
        <f t="shared" si="8"/>
        <v>0</v>
      </c>
      <c r="G55">
        <f t="shared" si="9"/>
        <v>0</v>
      </c>
      <c r="H55">
        <f t="shared" si="10"/>
        <v>0</v>
      </c>
      <c r="I55">
        <f t="shared" si="11"/>
        <v>0</v>
      </c>
      <c r="J55">
        <f t="shared" si="12"/>
        <v>0</v>
      </c>
      <c r="K55">
        <f t="shared" si="13"/>
        <v>0</v>
      </c>
      <c r="L55">
        <f t="shared" si="14"/>
        <v>0</v>
      </c>
    </row>
    <row r="56" spans="3:12" x14ac:dyDescent="0.75">
      <c r="C56">
        <f t="shared" si="15"/>
        <v>114</v>
      </c>
      <c r="D56">
        <v>54</v>
      </c>
      <c r="E56" t="s">
        <v>75</v>
      </c>
      <c r="F56">
        <f t="shared" si="8"/>
        <v>0</v>
      </c>
      <c r="G56">
        <f t="shared" si="9"/>
        <v>0</v>
      </c>
      <c r="H56">
        <f t="shared" si="10"/>
        <v>0</v>
      </c>
      <c r="I56">
        <f t="shared" si="11"/>
        <v>0</v>
      </c>
      <c r="J56">
        <f t="shared" si="12"/>
        <v>0</v>
      </c>
      <c r="K56">
        <f t="shared" si="13"/>
        <v>0</v>
      </c>
      <c r="L56">
        <f t="shared" si="14"/>
        <v>0</v>
      </c>
    </row>
    <row r="57" spans="3:12" x14ac:dyDescent="0.75">
      <c r="C57">
        <f t="shared" si="15"/>
        <v>115</v>
      </c>
      <c r="D57">
        <v>55</v>
      </c>
      <c r="E57" t="s">
        <v>76</v>
      </c>
      <c r="F57">
        <f t="shared" si="8"/>
        <v>0</v>
      </c>
      <c r="G57">
        <f t="shared" si="9"/>
        <v>0</v>
      </c>
      <c r="H57">
        <f t="shared" si="10"/>
        <v>0</v>
      </c>
      <c r="I57">
        <f t="shared" si="11"/>
        <v>0</v>
      </c>
      <c r="J57">
        <f t="shared" si="12"/>
        <v>0</v>
      </c>
      <c r="K57">
        <f t="shared" si="13"/>
        <v>0</v>
      </c>
      <c r="L57">
        <f t="shared" si="14"/>
        <v>0</v>
      </c>
    </row>
    <row r="58" spans="3:12" x14ac:dyDescent="0.75">
      <c r="C58">
        <f t="shared" si="15"/>
        <v>116</v>
      </c>
      <c r="D58">
        <v>56</v>
      </c>
      <c r="E58" t="s">
        <v>77</v>
      </c>
      <c r="F58">
        <f t="shared" si="8"/>
        <v>0</v>
      </c>
      <c r="G58">
        <f t="shared" si="9"/>
        <v>0</v>
      </c>
      <c r="H58">
        <f t="shared" si="10"/>
        <v>0</v>
      </c>
      <c r="I58">
        <f t="shared" si="11"/>
        <v>0</v>
      </c>
      <c r="J58">
        <f t="shared" si="12"/>
        <v>0</v>
      </c>
      <c r="K58">
        <f t="shared" si="13"/>
        <v>0</v>
      </c>
      <c r="L58">
        <f t="shared" si="14"/>
        <v>0</v>
      </c>
    </row>
    <row r="59" spans="3:12" x14ac:dyDescent="0.75">
      <c r="C59">
        <f t="shared" si="15"/>
        <v>117</v>
      </c>
      <c r="D59">
        <v>57</v>
      </c>
      <c r="E59" t="s">
        <v>78</v>
      </c>
      <c r="F59">
        <f t="shared" si="8"/>
        <v>0</v>
      </c>
      <c r="G59">
        <f t="shared" si="9"/>
        <v>0</v>
      </c>
      <c r="H59">
        <f t="shared" si="10"/>
        <v>0</v>
      </c>
      <c r="I59">
        <f t="shared" si="11"/>
        <v>0</v>
      </c>
      <c r="J59">
        <f t="shared" si="12"/>
        <v>0</v>
      </c>
      <c r="K59">
        <f t="shared" si="13"/>
        <v>0</v>
      </c>
      <c r="L59">
        <f t="shared" si="14"/>
        <v>0</v>
      </c>
    </row>
    <row r="60" spans="3:12" x14ac:dyDescent="0.75">
      <c r="C60">
        <f t="shared" si="15"/>
        <v>118</v>
      </c>
      <c r="D60">
        <v>58</v>
      </c>
      <c r="E60" t="s">
        <v>79</v>
      </c>
      <c r="F60">
        <f t="shared" si="8"/>
        <v>0</v>
      </c>
      <c r="G60">
        <f t="shared" si="9"/>
        <v>0</v>
      </c>
      <c r="H60">
        <f t="shared" si="10"/>
        <v>0</v>
      </c>
      <c r="I60">
        <f t="shared" si="11"/>
        <v>0</v>
      </c>
      <c r="J60">
        <f t="shared" si="12"/>
        <v>0</v>
      </c>
      <c r="K60">
        <f t="shared" si="13"/>
        <v>0</v>
      </c>
      <c r="L60">
        <f t="shared" si="14"/>
        <v>0</v>
      </c>
    </row>
    <row r="61" spans="3:12" x14ac:dyDescent="0.75">
      <c r="C61">
        <f t="shared" si="15"/>
        <v>119</v>
      </c>
      <c r="D61">
        <v>59</v>
      </c>
      <c r="E61" t="s">
        <v>80</v>
      </c>
      <c r="F61">
        <f t="shared" si="8"/>
        <v>0</v>
      </c>
      <c r="G61">
        <f t="shared" si="9"/>
        <v>0</v>
      </c>
      <c r="H61">
        <f t="shared" si="10"/>
        <v>0</v>
      </c>
      <c r="I61">
        <f t="shared" si="11"/>
        <v>0</v>
      </c>
      <c r="J61">
        <f t="shared" si="12"/>
        <v>0</v>
      </c>
      <c r="K61">
        <f t="shared" si="13"/>
        <v>0</v>
      </c>
      <c r="L61">
        <f t="shared" si="14"/>
        <v>0</v>
      </c>
    </row>
    <row r="62" spans="3:12" x14ac:dyDescent="0.75">
      <c r="C62">
        <f t="shared" si="15"/>
        <v>120</v>
      </c>
      <c r="D62">
        <v>60</v>
      </c>
      <c r="E62" t="s">
        <v>81</v>
      </c>
      <c r="F62">
        <f t="shared" si="8"/>
        <v>0</v>
      </c>
      <c r="G62">
        <f t="shared" si="9"/>
        <v>0</v>
      </c>
      <c r="H62">
        <f t="shared" si="10"/>
        <v>0</v>
      </c>
      <c r="I62">
        <f t="shared" si="11"/>
        <v>0</v>
      </c>
      <c r="J62">
        <f t="shared" si="12"/>
        <v>0</v>
      </c>
      <c r="K62">
        <f t="shared" si="13"/>
        <v>0</v>
      </c>
      <c r="L62">
        <f t="shared" si="14"/>
        <v>0</v>
      </c>
    </row>
    <row r="63" spans="3:12" x14ac:dyDescent="0.75">
      <c r="C63">
        <f t="shared" si="15"/>
        <v>121</v>
      </c>
      <c r="D63">
        <v>61</v>
      </c>
      <c r="E63" t="s">
        <v>82</v>
      </c>
      <c r="F63">
        <f t="shared" si="8"/>
        <v>0</v>
      </c>
      <c r="G63">
        <f t="shared" si="9"/>
        <v>0</v>
      </c>
      <c r="H63">
        <f t="shared" si="10"/>
        <v>0</v>
      </c>
      <c r="I63">
        <f t="shared" si="11"/>
        <v>0</v>
      </c>
      <c r="J63">
        <f t="shared" si="12"/>
        <v>0</v>
      </c>
      <c r="K63">
        <f t="shared" si="13"/>
        <v>0</v>
      </c>
      <c r="L63">
        <f t="shared" si="14"/>
        <v>0</v>
      </c>
    </row>
    <row r="64" spans="3:12" x14ac:dyDescent="0.75">
      <c r="C64">
        <f t="shared" si="15"/>
        <v>122</v>
      </c>
      <c r="D64">
        <v>62</v>
      </c>
      <c r="E64" t="s">
        <v>83</v>
      </c>
      <c r="F64">
        <f t="shared" si="8"/>
        <v>0</v>
      </c>
      <c r="G64">
        <f t="shared" si="9"/>
        <v>0</v>
      </c>
      <c r="H64">
        <f t="shared" si="10"/>
        <v>0</v>
      </c>
      <c r="I64">
        <f t="shared" ref="I64:I75" si="16">IF($B$6+D64-1&lt;=100,IF($B$6+D64-1=60,1000,IF($B$6+D64-1&gt;60,1000+1000*($B$6+D64-1),0)),0)</f>
        <v>0</v>
      </c>
      <c r="J64">
        <f t="shared" si="12"/>
        <v>0</v>
      </c>
      <c r="K64">
        <f t="shared" si="13"/>
        <v>0</v>
      </c>
      <c r="L64">
        <f t="shared" si="14"/>
        <v>0</v>
      </c>
    </row>
    <row r="65" spans="3:12" x14ac:dyDescent="0.75">
      <c r="C65">
        <f t="shared" si="15"/>
        <v>123</v>
      </c>
      <c r="D65">
        <v>63</v>
      </c>
      <c r="E65" t="s">
        <v>84</v>
      </c>
      <c r="F65">
        <f t="shared" si="8"/>
        <v>0</v>
      </c>
      <c r="G65">
        <f t="shared" si="9"/>
        <v>0</v>
      </c>
      <c r="H65">
        <f t="shared" si="10"/>
        <v>0</v>
      </c>
      <c r="I65">
        <f t="shared" si="16"/>
        <v>0</v>
      </c>
      <c r="J65">
        <f t="shared" si="12"/>
        <v>0</v>
      </c>
      <c r="K65">
        <f t="shared" si="13"/>
        <v>0</v>
      </c>
      <c r="L65">
        <f t="shared" si="14"/>
        <v>0</v>
      </c>
    </row>
    <row r="66" spans="3:12" x14ac:dyDescent="0.75">
      <c r="C66">
        <f t="shared" si="15"/>
        <v>124</v>
      </c>
      <c r="D66">
        <v>64</v>
      </c>
      <c r="E66" t="s">
        <v>85</v>
      </c>
      <c r="F66">
        <f t="shared" si="8"/>
        <v>0</v>
      </c>
      <c r="G66">
        <f t="shared" si="9"/>
        <v>0</v>
      </c>
      <c r="H66">
        <f t="shared" si="10"/>
        <v>0</v>
      </c>
      <c r="I66">
        <f t="shared" si="16"/>
        <v>0</v>
      </c>
      <c r="J66">
        <f t="shared" si="12"/>
        <v>0</v>
      </c>
      <c r="K66">
        <f t="shared" si="13"/>
        <v>0</v>
      </c>
      <c r="L66">
        <f t="shared" si="14"/>
        <v>0</v>
      </c>
    </row>
    <row r="67" spans="3:12" x14ac:dyDescent="0.75">
      <c r="C67">
        <f t="shared" si="15"/>
        <v>125</v>
      </c>
      <c r="D67">
        <v>65</v>
      </c>
      <c r="E67" t="s">
        <v>86</v>
      </c>
      <c r="F67">
        <f t="shared" ref="F67:F75" si="17">IF(AND($B$6+D67-1&gt;=$B$9,$B$6+D67-1&lt;$B$9+$B$3),15000,0)</f>
        <v>0</v>
      </c>
      <c r="G67">
        <f t="shared" ref="G67:G75" si="18">IF($B$6+D67-1&lt; 95, IF($B$6+D67-1=65, 25000, IF($B$6+D67-1&gt;65, 25000+1000*($B$6+D67-1-65), 0)), 0)</f>
        <v>0</v>
      </c>
      <c r="H67">
        <f t="shared" ref="H67:H75" si="19">IF(OR($B$6+D67-1&lt;$B$9, $B$6+D67-1&gt;110),0,7200)</f>
        <v>0</v>
      </c>
      <c r="I67">
        <f t="shared" si="16"/>
        <v>0</v>
      </c>
      <c r="J67">
        <f t="shared" ref="J67:J75" si="20">IF(AND($B$6+D67-1&gt;=$B$9, $B$6+D67-1&lt;$B$9+$B$3), IF($B$6+D67-1&lt;($B$9+$B$3/2), 19000, 25000), 0)</f>
        <v>0</v>
      </c>
      <c r="K67">
        <f t="shared" ref="K67:K75" si="21">IF(AND($B$6+D67-1&gt;=$B$9, $B$6+D67-1&lt;($B$9+$B$3)), 100000/$B$3, 0)</f>
        <v>0</v>
      </c>
      <c r="L67">
        <f t="shared" ref="L67:L75" si="22">IF(AND($B$6+D67-1&gt;=$B$9, $B$6+D67-1&lt;$B$9+$B$3), IF(AND(ISEVEN($B$6+D67-1), ISEVEN($B$9)), 30000, IF(AND(ISODD($B$6+D67-1), ISODD($B$9)), 30000, 0)), 0)</f>
        <v>0</v>
      </c>
    </row>
    <row r="68" spans="3:12" x14ac:dyDescent="0.75">
      <c r="C68">
        <f t="shared" ref="C68:C73" si="23">C67+1</f>
        <v>126</v>
      </c>
      <c r="D68">
        <v>66</v>
      </c>
      <c r="E68" t="s">
        <v>87</v>
      </c>
      <c r="F68">
        <f t="shared" si="17"/>
        <v>0</v>
      </c>
      <c r="G68">
        <f t="shared" si="18"/>
        <v>0</v>
      </c>
      <c r="H68">
        <f t="shared" si="19"/>
        <v>0</v>
      </c>
      <c r="I68">
        <f t="shared" si="16"/>
        <v>0</v>
      </c>
      <c r="J68">
        <f t="shared" si="20"/>
        <v>0</v>
      </c>
      <c r="K68">
        <f t="shared" si="21"/>
        <v>0</v>
      </c>
      <c r="L68">
        <f t="shared" si="22"/>
        <v>0</v>
      </c>
    </row>
    <row r="69" spans="3:12" x14ac:dyDescent="0.75">
      <c r="C69">
        <f t="shared" si="23"/>
        <v>127</v>
      </c>
      <c r="D69">
        <v>67</v>
      </c>
      <c r="E69" t="s">
        <v>88</v>
      </c>
      <c r="F69">
        <f t="shared" si="17"/>
        <v>0</v>
      </c>
      <c r="G69">
        <f t="shared" si="18"/>
        <v>0</v>
      </c>
      <c r="H69">
        <f t="shared" si="19"/>
        <v>0</v>
      </c>
      <c r="I69">
        <f t="shared" si="16"/>
        <v>0</v>
      </c>
      <c r="J69">
        <f t="shared" si="20"/>
        <v>0</v>
      </c>
      <c r="K69">
        <f t="shared" si="21"/>
        <v>0</v>
      </c>
      <c r="L69">
        <f t="shared" si="22"/>
        <v>0</v>
      </c>
    </row>
    <row r="70" spans="3:12" x14ac:dyDescent="0.75">
      <c r="C70">
        <f t="shared" si="23"/>
        <v>128</v>
      </c>
      <c r="D70">
        <v>68</v>
      </c>
      <c r="E70" t="s">
        <v>89</v>
      </c>
      <c r="F70">
        <f t="shared" si="17"/>
        <v>0</v>
      </c>
      <c r="G70">
        <f t="shared" si="18"/>
        <v>0</v>
      </c>
      <c r="H70">
        <f t="shared" si="19"/>
        <v>0</v>
      </c>
      <c r="I70">
        <f t="shared" si="16"/>
        <v>0</v>
      </c>
      <c r="J70">
        <f t="shared" si="20"/>
        <v>0</v>
      </c>
      <c r="K70">
        <f t="shared" si="21"/>
        <v>0</v>
      </c>
      <c r="L70">
        <f t="shared" si="22"/>
        <v>0</v>
      </c>
    </row>
    <row r="71" spans="3:12" x14ac:dyDescent="0.75">
      <c r="C71">
        <f t="shared" si="23"/>
        <v>129</v>
      </c>
      <c r="D71">
        <v>69</v>
      </c>
      <c r="E71" t="s">
        <v>90</v>
      </c>
      <c r="F71">
        <f t="shared" si="17"/>
        <v>0</v>
      </c>
      <c r="G71">
        <f t="shared" si="18"/>
        <v>0</v>
      </c>
      <c r="H71">
        <f t="shared" si="19"/>
        <v>0</v>
      </c>
      <c r="I71">
        <f t="shared" si="16"/>
        <v>0</v>
      </c>
      <c r="J71">
        <f t="shared" si="20"/>
        <v>0</v>
      </c>
      <c r="K71">
        <f t="shared" si="21"/>
        <v>0</v>
      </c>
      <c r="L71">
        <f t="shared" si="22"/>
        <v>0</v>
      </c>
    </row>
    <row r="72" spans="3:12" x14ac:dyDescent="0.75">
      <c r="C72">
        <f t="shared" si="23"/>
        <v>130</v>
      </c>
      <c r="D72">
        <v>70</v>
      </c>
      <c r="E72" t="s">
        <v>91</v>
      </c>
      <c r="F72">
        <f t="shared" si="17"/>
        <v>0</v>
      </c>
      <c r="G72">
        <f t="shared" si="18"/>
        <v>0</v>
      </c>
      <c r="H72">
        <f t="shared" si="19"/>
        <v>0</v>
      </c>
      <c r="I72">
        <f t="shared" si="16"/>
        <v>0</v>
      </c>
      <c r="J72">
        <f t="shared" si="20"/>
        <v>0</v>
      </c>
      <c r="K72">
        <f t="shared" si="21"/>
        <v>0</v>
      </c>
      <c r="L72">
        <f t="shared" si="22"/>
        <v>0</v>
      </c>
    </row>
    <row r="73" spans="3:12" x14ac:dyDescent="0.75">
      <c r="C73">
        <f t="shared" si="23"/>
        <v>131</v>
      </c>
      <c r="D73">
        <v>71</v>
      </c>
      <c r="E73" t="s">
        <v>92</v>
      </c>
      <c r="F73">
        <f t="shared" si="17"/>
        <v>0</v>
      </c>
      <c r="G73">
        <f t="shared" si="18"/>
        <v>0</v>
      </c>
      <c r="H73">
        <f t="shared" si="19"/>
        <v>0</v>
      </c>
      <c r="I73">
        <f t="shared" si="16"/>
        <v>0</v>
      </c>
      <c r="J73">
        <f t="shared" si="20"/>
        <v>0</v>
      </c>
      <c r="K73">
        <f t="shared" si="21"/>
        <v>0</v>
      </c>
      <c r="L73">
        <f t="shared" si="22"/>
        <v>0</v>
      </c>
    </row>
    <row r="74" spans="3:12" x14ac:dyDescent="0.75">
      <c r="C74">
        <v>111</v>
      </c>
      <c r="D74">
        <v>72</v>
      </c>
      <c r="E74" t="s">
        <v>93</v>
      </c>
      <c r="F74">
        <f t="shared" si="17"/>
        <v>0</v>
      </c>
      <c r="G74">
        <f t="shared" si="18"/>
        <v>0</v>
      </c>
      <c r="H74">
        <f t="shared" si="19"/>
        <v>0</v>
      </c>
      <c r="I74">
        <f t="shared" si="16"/>
        <v>0</v>
      </c>
      <c r="J74">
        <f t="shared" si="20"/>
        <v>0</v>
      </c>
      <c r="K74">
        <f t="shared" si="21"/>
        <v>0</v>
      </c>
      <c r="L74">
        <f t="shared" si="22"/>
        <v>0</v>
      </c>
    </row>
    <row r="75" spans="3:12" x14ac:dyDescent="0.75">
      <c r="C75">
        <v>112</v>
      </c>
      <c r="D75">
        <v>73</v>
      </c>
      <c r="E75" t="s">
        <v>94</v>
      </c>
      <c r="F75">
        <f t="shared" si="17"/>
        <v>0</v>
      </c>
      <c r="G75">
        <f t="shared" si="18"/>
        <v>0</v>
      </c>
      <c r="H75">
        <f t="shared" si="19"/>
        <v>0</v>
      </c>
      <c r="I75">
        <f t="shared" si="16"/>
        <v>0</v>
      </c>
      <c r="J75">
        <f t="shared" si="20"/>
        <v>0</v>
      </c>
      <c r="K75">
        <f t="shared" si="21"/>
        <v>0</v>
      </c>
      <c r="L75">
        <f t="shared" si="22"/>
        <v>0</v>
      </c>
    </row>
  </sheetData>
  <pageMargins left="0.70000000000000007" right="0.70000000000000007" top="0.75" bottom="0.75" header="0.30000000000000004" footer="0.3000000000000000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E101"/>
  <sheetViews>
    <sheetView zoomScaleNormal="100" workbookViewId="0">
      <selection activeCell="D3" sqref="D3"/>
    </sheetView>
  </sheetViews>
  <sheetFormatPr defaultRowHeight="14.75" x14ac:dyDescent="0.75"/>
  <cols>
    <col min="1" max="1" width="10.90625" bestFit="1" customWidth="1"/>
    <col min="2" max="2" width="10.90625" customWidth="1"/>
    <col min="3" max="3" width="10.6796875" bestFit="1" customWidth="1"/>
    <col min="4" max="4" width="17.76953125" bestFit="1" customWidth="1"/>
    <col min="5" max="5" width="15.36328125" bestFit="1" customWidth="1"/>
  </cols>
  <sheetData>
    <row r="1" spans="1:5" x14ac:dyDescent="0.75">
      <c r="A1" s="42" t="s">
        <v>95</v>
      </c>
      <c r="B1" s="42" t="s">
        <v>199</v>
      </c>
      <c r="C1" s="42" t="s">
        <v>8</v>
      </c>
      <c r="D1" s="42" t="s">
        <v>10</v>
      </c>
      <c r="E1" s="42" t="s">
        <v>13</v>
      </c>
    </row>
    <row r="2" spans="1:5" x14ac:dyDescent="0.75">
      <c r="A2" s="35" t="s">
        <v>97</v>
      </c>
      <c r="B2" s="36" t="s">
        <v>7</v>
      </c>
      <c r="C2" s="37">
        <v>60</v>
      </c>
      <c r="D2" s="38">
        <v>67</v>
      </c>
      <c r="E2" s="40">
        <v>19</v>
      </c>
    </row>
    <row r="3" spans="1:5" x14ac:dyDescent="0.75">
      <c r="A3" s="35" t="s">
        <v>98</v>
      </c>
      <c r="B3" s="36" t="s">
        <v>17</v>
      </c>
      <c r="C3" s="37">
        <v>50</v>
      </c>
      <c r="D3" s="38"/>
      <c r="E3" s="40"/>
    </row>
    <row r="4" spans="1:5" x14ac:dyDescent="0.75">
      <c r="A4" s="35" t="s">
        <v>99</v>
      </c>
      <c r="B4" s="36" t="s">
        <v>16</v>
      </c>
      <c r="C4" s="37">
        <v>40</v>
      </c>
      <c r="D4" s="38">
        <v>50</v>
      </c>
      <c r="E4" s="40"/>
    </row>
    <row r="5" spans="1:5" x14ac:dyDescent="0.75">
      <c r="A5" s="35" t="s">
        <v>100</v>
      </c>
      <c r="B5" s="36" t="s">
        <v>14</v>
      </c>
      <c r="C5" s="37">
        <v>45</v>
      </c>
      <c r="D5" s="38">
        <v>48</v>
      </c>
      <c r="E5" s="40">
        <v>18</v>
      </c>
    </row>
    <row r="6" spans="1:5" x14ac:dyDescent="0.75">
      <c r="A6" s="35" t="s">
        <v>101</v>
      </c>
      <c r="B6" s="36" t="s">
        <v>15</v>
      </c>
      <c r="C6" s="37">
        <v>52</v>
      </c>
      <c r="D6" s="39"/>
      <c r="E6" s="41"/>
    </row>
    <row r="7" spans="1:5" x14ac:dyDescent="0.75">
      <c r="A7" s="35" t="s">
        <v>102</v>
      </c>
      <c r="B7" s="36" t="s">
        <v>15</v>
      </c>
      <c r="C7" s="37">
        <v>63</v>
      </c>
      <c r="D7" s="39"/>
      <c r="E7" s="41"/>
    </row>
    <row r="8" spans="1:5" x14ac:dyDescent="0.75">
      <c r="A8" s="35" t="s">
        <v>103</v>
      </c>
      <c r="B8" s="36" t="s">
        <v>17</v>
      </c>
      <c r="C8" s="37">
        <v>64</v>
      </c>
      <c r="D8" s="39"/>
      <c r="E8" s="41"/>
    </row>
    <row r="9" spans="1:5" x14ac:dyDescent="0.75">
      <c r="A9" s="35" t="s">
        <v>104</v>
      </c>
      <c r="B9" s="36" t="s">
        <v>16</v>
      </c>
      <c r="C9" s="37">
        <v>48</v>
      </c>
      <c r="D9" s="39">
        <v>60</v>
      </c>
      <c r="E9" s="41"/>
    </row>
    <row r="10" spans="1:5" x14ac:dyDescent="0.75">
      <c r="A10" s="35" t="s">
        <v>105</v>
      </c>
      <c r="B10" s="36" t="s">
        <v>17</v>
      </c>
      <c r="C10" s="37">
        <v>46</v>
      </c>
      <c r="D10" s="39"/>
      <c r="E10" s="41"/>
    </row>
    <row r="11" spans="1:5" x14ac:dyDescent="0.75">
      <c r="A11" s="35" t="s">
        <v>106</v>
      </c>
      <c r="B11" s="36" t="s">
        <v>7</v>
      </c>
      <c r="C11" s="37">
        <v>58</v>
      </c>
      <c r="D11" s="39">
        <v>63</v>
      </c>
      <c r="E11" s="41">
        <v>20</v>
      </c>
    </row>
    <row r="12" spans="1:5" x14ac:dyDescent="0.75">
      <c r="A12" s="35" t="s">
        <v>107</v>
      </c>
      <c r="B12" s="36" t="s">
        <v>19</v>
      </c>
      <c r="C12" s="37">
        <v>55</v>
      </c>
      <c r="D12" s="39">
        <v>64</v>
      </c>
      <c r="E12" s="41">
        <v>15</v>
      </c>
    </row>
    <row r="13" spans="1:5" x14ac:dyDescent="0.75">
      <c r="A13" s="35" t="s">
        <v>108</v>
      </c>
      <c r="B13" s="36" t="s">
        <v>14</v>
      </c>
      <c r="C13" s="37">
        <v>55</v>
      </c>
      <c r="D13" s="39">
        <v>68</v>
      </c>
      <c r="E13" s="41">
        <v>5</v>
      </c>
    </row>
    <row r="14" spans="1:5" x14ac:dyDescent="0.75">
      <c r="A14" s="35" t="s">
        <v>109</v>
      </c>
      <c r="B14" s="36" t="s">
        <v>14</v>
      </c>
      <c r="C14" s="37">
        <v>53</v>
      </c>
      <c r="D14" s="39">
        <v>54</v>
      </c>
      <c r="E14" s="41">
        <v>5</v>
      </c>
    </row>
    <row r="15" spans="1:5" x14ac:dyDescent="0.75">
      <c r="A15" s="35" t="s">
        <v>110</v>
      </c>
      <c r="B15" s="36" t="s">
        <v>14</v>
      </c>
      <c r="C15" s="37">
        <v>45</v>
      </c>
      <c r="D15" s="39">
        <v>58</v>
      </c>
      <c r="E15" s="41">
        <v>19</v>
      </c>
    </row>
    <row r="16" spans="1:5" x14ac:dyDescent="0.75">
      <c r="A16" s="35" t="s">
        <v>111</v>
      </c>
      <c r="B16" s="36" t="s">
        <v>18</v>
      </c>
      <c r="C16" s="37">
        <v>53</v>
      </c>
      <c r="D16" s="39">
        <v>67</v>
      </c>
      <c r="E16" s="41">
        <v>7</v>
      </c>
    </row>
    <row r="17" spans="1:5" x14ac:dyDescent="0.75">
      <c r="A17" s="35" t="s">
        <v>112</v>
      </c>
      <c r="B17" s="36" t="s">
        <v>19</v>
      </c>
      <c r="C17" s="37">
        <v>56</v>
      </c>
      <c r="D17" s="39">
        <v>58</v>
      </c>
      <c r="E17" s="41">
        <v>10</v>
      </c>
    </row>
    <row r="18" spans="1:5" x14ac:dyDescent="0.75">
      <c r="A18" s="35" t="s">
        <v>113</v>
      </c>
      <c r="B18" s="36" t="s">
        <v>7</v>
      </c>
      <c r="C18" s="37">
        <v>52</v>
      </c>
      <c r="D18" s="39">
        <v>61</v>
      </c>
      <c r="E18" s="41">
        <v>20</v>
      </c>
    </row>
    <row r="19" spans="1:5" x14ac:dyDescent="0.75">
      <c r="A19" s="35" t="s">
        <v>114</v>
      </c>
      <c r="B19" s="36" t="s">
        <v>15</v>
      </c>
      <c r="C19" s="37">
        <v>56</v>
      </c>
      <c r="D19" s="39"/>
      <c r="E19" s="41"/>
    </row>
    <row r="20" spans="1:5" x14ac:dyDescent="0.75">
      <c r="A20" s="35" t="s">
        <v>115</v>
      </c>
      <c r="B20" s="36" t="s">
        <v>15</v>
      </c>
      <c r="C20" s="37">
        <v>47</v>
      </c>
      <c r="D20" s="39"/>
      <c r="E20" s="41"/>
    </row>
    <row r="21" spans="1:5" x14ac:dyDescent="0.75">
      <c r="A21" s="35" t="s">
        <v>116</v>
      </c>
      <c r="B21" s="36" t="s">
        <v>16</v>
      </c>
      <c r="C21" s="37">
        <v>41</v>
      </c>
      <c r="D21" s="39">
        <v>41</v>
      </c>
      <c r="E21" s="41"/>
    </row>
    <row r="22" spans="1:5" x14ac:dyDescent="0.75">
      <c r="A22" s="35" t="s">
        <v>117</v>
      </c>
      <c r="B22" s="36" t="s">
        <v>18</v>
      </c>
      <c r="C22" s="37">
        <v>50</v>
      </c>
      <c r="D22" s="39">
        <v>58</v>
      </c>
      <c r="E22" s="41">
        <v>20</v>
      </c>
    </row>
    <row r="23" spans="1:5" x14ac:dyDescent="0.75">
      <c r="A23" s="35" t="s">
        <v>118</v>
      </c>
      <c r="B23" s="36" t="s">
        <v>17</v>
      </c>
      <c r="C23" s="37">
        <v>58</v>
      </c>
      <c r="D23" s="39"/>
      <c r="E23" s="41"/>
    </row>
    <row r="24" spans="1:5" x14ac:dyDescent="0.75">
      <c r="A24" s="35" t="s">
        <v>119</v>
      </c>
      <c r="B24" s="36" t="s">
        <v>14</v>
      </c>
      <c r="C24" s="37">
        <v>51</v>
      </c>
      <c r="D24" s="39">
        <v>57</v>
      </c>
      <c r="E24" s="41">
        <v>6</v>
      </c>
    </row>
    <row r="25" spans="1:5" x14ac:dyDescent="0.75">
      <c r="A25" s="35" t="s">
        <v>120</v>
      </c>
      <c r="B25" s="36" t="s">
        <v>7</v>
      </c>
      <c r="C25" s="37">
        <v>40</v>
      </c>
      <c r="D25" s="39">
        <v>43</v>
      </c>
      <c r="E25" s="41">
        <v>17</v>
      </c>
    </row>
    <row r="26" spans="1:5" x14ac:dyDescent="0.75">
      <c r="A26" s="35" t="s">
        <v>121</v>
      </c>
      <c r="B26" s="36" t="s">
        <v>19</v>
      </c>
      <c r="C26" s="37">
        <v>47</v>
      </c>
      <c r="D26" s="39">
        <v>61</v>
      </c>
      <c r="E26" s="41">
        <v>5</v>
      </c>
    </row>
    <row r="27" spans="1:5" x14ac:dyDescent="0.75">
      <c r="A27" s="35" t="s">
        <v>122</v>
      </c>
      <c r="B27" s="36" t="s">
        <v>7</v>
      </c>
      <c r="C27" s="37">
        <v>57</v>
      </c>
      <c r="D27" s="39">
        <v>60</v>
      </c>
      <c r="E27" s="41">
        <v>20</v>
      </c>
    </row>
    <row r="28" spans="1:5" x14ac:dyDescent="0.75">
      <c r="A28" s="35" t="s">
        <v>123</v>
      </c>
      <c r="B28" s="36" t="s">
        <v>14</v>
      </c>
      <c r="C28" s="37">
        <v>52</v>
      </c>
      <c r="D28" s="39">
        <v>66</v>
      </c>
      <c r="E28" s="41">
        <v>12</v>
      </c>
    </row>
    <row r="29" spans="1:5" x14ac:dyDescent="0.75">
      <c r="A29" s="35" t="s">
        <v>124</v>
      </c>
      <c r="B29" s="36" t="s">
        <v>16</v>
      </c>
      <c r="C29" s="37">
        <v>67</v>
      </c>
      <c r="D29" s="39">
        <v>71</v>
      </c>
      <c r="E29" s="41"/>
    </row>
    <row r="30" spans="1:5" x14ac:dyDescent="0.75">
      <c r="A30" s="35" t="s">
        <v>125</v>
      </c>
      <c r="B30" s="36" t="s">
        <v>19</v>
      </c>
      <c r="C30" s="37">
        <v>42</v>
      </c>
      <c r="D30" s="39">
        <v>46</v>
      </c>
      <c r="E30" s="41">
        <v>16</v>
      </c>
    </row>
    <row r="31" spans="1:5" x14ac:dyDescent="0.75">
      <c r="A31" s="35" t="s">
        <v>126</v>
      </c>
      <c r="B31" s="36" t="s">
        <v>14</v>
      </c>
      <c r="C31" s="37">
        <v>60</v>
      </c>
      <c r="D31" s="39">
        <v>66</v>
      </c>
      <c r="E31" s="41">
        <v>8</v>
      </c>
    </row>
    <row r="32" spans="1:5" x14ac:dyDescent="0.75">
      <c r="A32" s="35" t="s">
        <v>127</v>
      </c>
      <c r="B32" s="36" t="s">
        <v>14</v>
      </c>
      <c r="C32" s="37">
        <v>45</v>
      </c>
      <c r="D32" s="39">
        <v>45</v>
      </c>
      <c r="E32" s="41">
        <v>19</v>
      </c>
    </row>
    <row r="33" spans="1:5" x14ac:dyDescent="0.75">
      <c r="A33" s="35" t="s">
        <v>128</v>
      </c>
      <c r="B33" s="36" t="s">
        <v>14</v>
      </c>
      <c r="C33" s="37">
        <v>63</v>
      </c>
      <c r="D33" s="39">
        <v>69</v>
      </c>
      <c r="E33" s="41">
        <v>6</v>
      </c>
    </row>
    <row r="34" spans="1:5" x14ac:dyDescent="0.75">
      <c r="A34" s="35" t="s">
        <v>129</v>
      </c>
      <c r="B34" s="36" t="s">
        <v>14</v>
      </c>
      <c r="C34" s="37">
        <v>42</v>
      </c>
      <c r="D34" s="39">
        <v>43</v>
      </c>
      <c r="E34" s="41">
        <v>19</v>
      </c>
    </row>
    <row r="35" spans="1:5" x14ac:dyDescent="0.75">
      <c r="A35" s="35" t="s">
        <v>130</v>
      </c>
      <c r="B35" s="36" t="s">
        <v>7</v>
      </c>
      <c r="C35" s="37">
        <v>44</v>
      </c>
      <c r="D35" s="39">
        <v>57</v>
      </c>
      <c r="E35" s="41">
        <v>5</v>
      </c>
    </row>
    <row r="36" spans="1:5" x14ac:dyDescent="0.75">
      <c r="A36" s="35" t="s">
        <v>131</v>
      </c>
      <c r="B36" s="36" t="s">
        <v>14</v>
      </c>
      <c r="C36" s="37">
        <v>63</v>
      </c>
      <c r="D36" s="39">
        <v>69</v>
      </c>
      <c r="E36" s="41">
        <v>20</v>
      </c>
    </row>
    <row r="37" spans="1:5" x14ac:dyDescent="0.75">
      <c r="A37" s="35" t="s">
        <v>132</v>
      </c>
      <c r="B37" s="36" t="s">
        <v>14</v>
      </c>
      <c r="C37" s="37">
        <v>68</v>
      </c>
      <c r="D37" s="39">
        <v>69</v>
      </c>
      <c r="E37" s="41">
        <v>17</v>
      </c>
    </row>
    <row r="38" spans="1:5" x14ac:dyDescent="0.75">
      <c r="A38" s="35" t="s">
        <v>133</v>
      </c>
      <c r="B38" s="36" t="s">
        <v>15</v>
      </c>
      <c r="C38" s="37">
        <v>42</v>
      </c>
      <c r="D38" s="39"/>
      <c r="E38" s="41"/>
    </row>
    <row r="39" spans="1:5" x14ac:dyDescent="0.75">
      <c r="A39" s="35" t="s">
        <v>134</v>
      </c>
      <c r="B39" s="36" t="s">
        <v>15</v>
      </c>
      <c r="C39" s="37">
        <v>67</v>
      </c>
      <c r="D39" s="39"/>
      <c r="E39" s="41"/>
    </row>
    <row r="40" spans="1:5" x14ac:dyDescent="0.75">
      <c r="A40" s="35" t="s">
        <v>135</v>
      </c>
      <c r="B40" s="36" t="s">
        <v>16</v>
      </c>
      <c r="C40" s="37">
        <v>70</v>
      </c>
      <c r="D40" s="39">
        <v>72</v>
      </c>
      <c r="E40" s="41"/>
    </row>
    <row r="41" spans="1:5" x14ac:dyDescent="0.75">
      <c r="A41" s="35" t="s">
        <v>136</v>
      </c>
      <c r="B41" s="36" t="s">
        <v>14</v>
      </c>
      <c r="C41" s="37">
        <v>69</v>
      </c>
      <c r="D41" s="39">
        <v>78</v>
      </c>
      <c r="E41" s="41">
        <v>6</v>
      </c>
    </row>
    <row r="42" spans="1:5" x14ac:dyDescent="0.75">
      <c r="A42" s="35" t="s">
        <v>137</v>
      </c>
      <c r="B42" s="36" t="s">
        <v>15</v>
      </c>
      <c r="C42" s="37">
        <v>41</v>
      </c>
      <c r="D42" s="39"/>
      <c r="E42" s="41"/>
    </row>
    <row r="43" spans="1:5" x14ac:dyDescent="0.75">
      <c r="A43" s="35" t="s">
        <v>138</v>
      </c>
      <c r="B43" s="36" t="s">
        <v>15</v>
      </c>
      <c r="C43" s="37">
        <v>49</v>
      </c>
      <c r="D43" s="39"/>
      <c r="E43" s="41"/>
    </row>
    <row r="44" spans="1:5" x14ac:dyDescent="0.75">
      <c r="A44" s="35" t="s">
        <v>139</v>
      </c>
      <c r="B44" s="36" t="s">
        <v>19</v>
      </c>
      <c r="C44" s="37">
        <v>44</v>
      </c>
      <c r="D44" s="39">
        <v>59</v>
      </c>
      <c r="E44" s="41">
        <v>6</v>
      </c>
    </row>
    <row r="45" spans="1:5" x14ac:dyDescent="0.75">
      <c r="A45" s="35" t="s">
        <v>140</v>
      </c>
      <c r="B45" s="36" t="s">
        <v>18</v>
      </c>
      <c r="C45" s="37">
        <v>45</v>
      </c>
      <c r="D45" s="39">
        <v>52</v>
      </c>
      <c r="E45" s="41">
        <v>20</v>
      </c>
    </row>
    <row r="46" spans="1:5" x14ac:dyDescent="0.75">
      <c r="A46" s="35" t="s">
        <v>141</v>
      </c>
      <c r="B46" s="36" t="s">
        <v>17</v>
      </c>
      <c r="C46" s="37">
        <v>50</v>
      </c>
      <c r="D46" s="39"/>
      <c r="E46" s="41"/>
    </row>
    <row r="47" spans="1:5" x14ac:dyDescent="0.75">
      <c r="A47" s="35" t="s">
        <v>142</v>
      </c>
      <c r="B47" s="36" t="s">
        <v>19</v>
      </c>
      <c r="C47" s="37">
        <v>49</v>
      </c>
      <c r="D47" s="39">
        <v>63</v>
      </c>
      <c r="E47" s="41">
        <v>11</v>
      </c>
    </row>
    <row r="48" spans="1:5" x14ac:dyDescent="0.75">
      <c r="A48" s="35" t="s">
        <v>143</v>
      </c>
      <c r="B48" s="36" t="s">
        <v>18</v>
      </c>
      <c r="C48" s="37">
        <v>55</v>
      </c>
      <c r="D48" s="39">
        <v>57</v>
      </c>
      <c r="E48" s="41">
        <v>5</v>
      </c>
    </row>
    <row r="49" spans="1:5" x14ac:dyDescent="0.75">
      <c r="A49" s="35" t="s">
        <v>144</v>
      </c>
      <c r="B49" s="36" t="s">
        <v>15</v>
      </c>
      <c r="C49" s="37">
        <v>58</v>
      </c>
      <c r="D49" s="39"/>
      <c r="E49" s="41"/>
    </row>
    <row r="50" spans="1:5" x14ac:dyDescent="0.75">
      <c r="A50" s="35" t="s">
        <v>145</v>
      </c>
      <c r="B50" s="36" t="s">
        <v>18</v>
      </c>
      <c r="C50" s="37">
        <v>60</v>
      </c>
      <c r="D50" s="39">
        <v>73</v>
      </c>
      <c r="E50" s="41">
        <v>18</v>
      </c>
    </row>
    <row r="51" spans="1:5" x14ac:dyDescent="0.75">
      <c r="A51" s="35" t="s">
        <v>146</v>
      </c>
      <c r="B51" s="36" t="s">
        <v>19</v>
      </c>
      <c r="C51" s="37">
        <v>59</v>
      </c>
      <c r="D51" s="39">
        <v>60</v>
      </c>
      <c r="E51" s="41">
        <v>16</v>
      </c>
    </row>
    <row r="52" spans="1:5" x14ac:dyDescent="0.75">
      <c r="A52" s="35" t="s">
        <v>147</v>
      </c>
      <c r="B52" s="36" t="s">
        <v>7</v>
      </c>
      <c r="C52" s="37">
        <v>42</v>
      </c>
      <c r="D52" s="39">
        <v>55</v>
      </c>
      <c r="E52" s="41">
        <v>18</v>
      </c>
    </row>
    <row r="53" spans="1:5" x14ac:dyDescent="0.75">
      <c r="A53" s="35" t="s">
        <v>148</v>
      </c>
      <c r="B53" s="36" t="s">
        <v>16</v>
      </c>
      <c r="C53" s="37">
        <v>66</v>
      </c>
      <c r="D53" s="39">
        <v>78</v>
      </c>
      <c r="E53" s="41"/>
    </row>
    <row r="54" spans="1:5" x14ac:dyDescent="0.75">
      <c r="A54" s="35" t="s">
        <v>149</v>
      </c>
      <c r="B54" s="36" t="s">
        <v>16</v>
      </c>
      <c r="C54" s="37">
        <v>49</v>
      </c>
      <c r="D54" s="39">
        <v>50</v>
      </c>
      <c r="E54" s="41"/>
    </row>
    <row r="55" spans="1:5" x14ac:dyDescent="0.75">
      <c r="A55" s="35" t="s">
        <v>150</v>
      </c>
      <c r="B55" s="36" t="s">
        <v>14</v>
      </c>
      <c r="C55" s="37">
        <v>54</v>
      </c>
      <c r="D55" s="39">
        <v>55</v>
      </c>
      <c r="E55" s="41">
        <v>12</v>
      </c>
    </row>
    <row r="56" spans="1:5" x14ac:dyDescent="0.75">
      <c r="A56" s="35" t="s">
        <v>151</v>
      </c>
      <c r="B56" s="36" t="s">
        <v>17</v>
      </c>
      <c r="C56" s="37">
        <v>56</v>
      </c>
      <c r="D56" s="39"/>
      <c r="E56" s="41"/>
    </row>
    <row r="57" spans="1:5" x14ac:dyDescent="0.75">
      <c r="A57" s="35" t="s">
        <v>152</v>
      </c>
      <c r="B57" s="36" t="s">
        <v>15</v>
      </c>
      <c r="C57" s="37">
        <v>58</v>
      </c>
      <c r="D57" s="39"/>
      <c r="E57" s="41"/>
    </row>
    <row r="58" spans="1:5" x14ac:dyDescent="0.75">
      <c r="A58" s="35" t="s">
        <v>153</v>
      </c>
      <c r="B58" s="36" t="s">
        <v>16</v>
      </c>
      <c r="C58" s="37">
        <v>63</v>
      </c>
      <c r="D58" s="39">
        <v>78</v>
      </c>
      <c r="E58" s="41"/>
    </row>
    <row r="59" spans="1:5" x14ac:dyDescent="0.75">
      <c r="A59" s="35" t="s">
        <v>154</v>
      </c>
      <c r="B59" s="36" t="s">
        <v>16</v>
      </c>
      <c r="C59" s="37">
        <v>51</v>
      </c>
      <c r="D59" s="39">
        <v>64</v>
      </c>
      <c r="E59" s="41"/>
    </row>
    <row r="60" spans="1:5" x14ac:dyDescent="0.75">
      <c r="A60" s="35" t="s">
        <v>155</v>
      </c>
      <c r="B60" s="36" t="s">
        <v>17</v>
      </c>
      <c r="C60" s="37">
        <v>55</v>
      </c>
      <c r="D60" s="39"/>
      <c r="E60" s="41"/>
    </row>
    <row r="61" spans="1:5" x14ac:dyDescent="0.75">
      <c r="A61" s="35" t="s">
        <v>156</v>
      </c>
      <c r="B61" s="36" t="s">
        <v>14</v>
      </c>
      <c r="C61" s="37">
        <v>41</v>
      </c>
      <c r="D61" s="39">
        <v>51</v>
      </c>
      <c r="E61" s="41">
        <v>12</v>
      </c>
    </row>
    <row r="62" spans="1:5" x14ac:dyDescent="0.75">
      <c r="A62" s="35" t="s">
        <v>157</v>
      </c>
      <c r="B62" s="36" t="s">
        <v>14</v>
      </c>
      <c r="C62" s="37">
        <v>54</v>
      </c>
      <c r="D62" s="39">
        <v>63</v>
      </c>
      <c r="E62" s="41">
        <v>17</v>
      </c>
    </row>
    <row r="63" spans="1:5" x14ac:dyDescent="0.75">
      <c r="A63" s="35" t="s">
        <v>158</v>
      </c>
      <c r="B63" s="36" t="s">
        <v>19</v>
      </c>
      <c r="C63" s="37">
        <v>42</v>
      </c>
      <c r="D63" s="39">
        <v>57</v>
      </c>
      <c r="E63" s="41">
        <v>17</v>
      </c>
    </row>
    <row r="64" spans="1:5" x14ac:dyDescent="0.75">
      <c r="A64" s="35" t="s">
        <v>159</v>
      </c>
      <c r="B64" s="36" t="s">
        <v>17</v>
      </c>
      <c r="C64" s="37">
        <v>53</v>
      </c>
      <c r="D64" s="39"/>
      <c r="E64" s="41"/>
    </row>
    <row r="65" spans="1:5" x14ac:dyDescent="0.75">
      <c r="A65" s="35" t="s">
        <v>160</v>
      </c>
      <c r="B65" s="36" t="s">
        <v>15</v>
      </c>
      <c r="C65" s="37">
        <v>58</v>
      </c>
      <c r="D65" s="39"/>
      <c r="E65" s="41"/>
    </row>
    <row r="66" spans="1:5" x14ac:dyDescent="0.75">
      <c r="A66" s="35" t="s">
        <v>161</v>
      </c>
      <c r="B66" s="36" t="s">
        <v>14</v>
      </c>
      <c r="C66" s="37">
        <v>54</v>
      </c>
      <c r="D66" s="39">
        <v>66</v>
      </c>
      <c r="E66" s="41">
        <v>20</v>
      </c>
    </row>
    <row r="67" spans="1:5" x14ac:dyDescent="0.75">
      <c r="A67" s="35" t="s">
        <v>162</v>
      </c>
      <c r="B67" s="36" t="s">
        <v>19</v>
      </c>
      <c r="C67" s="37">
        <v>47</v>
      </c>
      <c r="D67" s="39">
        <v>57</v>
      </c>
      <c r="E67" s="41">
        <v>8</v>
      </c>
    </row>
    <row r="68" spans="1:5" x14ac:dyDescent="0.75">
      <c r="A68" s="35" t="s">
        <v>163</v>
      </c>
      <c r="B68" s="36" t="s">
        <v>15</v>
      </c>
      <c r="C68" s="37">
        <v>60</v>
      </c>
      <c r="D68" s="39"/>
      <c r="E68" s="41"/>
    </row>
    <row r="69" spans="1:5" x14ac:dyDescent="0.75">
      <c r="A69" s="35" t="s">
        <v>164</v>
      </c>
      <c r="B69" s="36" t="s">
        <v>15</v>
      </c>
      <c r="C69" s="37">
        <v>49</v>
      </c>
      <c r="D69" s="39"/>
      <c r="E69" s="41"/>
    </row>
    <row r="70" spans="1:5" x14ac:dyDescent="0.75">
      <c r="A70" s="35" t="s">
        <v>165</v>
      </c>
      <c r="B70" s="36" t="s">
        <v>16</v>
      </c>
      <c r="C70" s="37">
        <v>53</v>
      </c>
      <c r="D70" s="39">
        <v>58</v>
      </c>
      <c r="E70" s="41"/>
    </row>
    <row r="71" spans="1:5" x14ac:dyDescent="0.75">
      <c r="A71" s="35" t="s">
        <v>166</v>
      </c>
      <c r="B71" s="36" t="s">
        <v>19</v>
      </c>
      <c r="C71" s="37">
        <v>50</v>
      </c>
      <c r="D71" s="39">
        <v>50</v>
      </c>
      <c r="E71" s="41">
        <v>15</v>
      </c>
    </row>
    <row r="72" spans="1:5" x14ac:dyDescent="0.75">
      <c r="A72" s="35" t="s">
        <v>167</v>
      </c>
      <c r="B72" s="36" t="s">
        <v>19</v>
      </c>
      <c r="C72" s="37">
        <v>44</v>
      </c>
      <c r="D72" s="39">
        <v>46</v>
      </c>
      <c r="E72" s="41">
        <v>9</v>
      </c>
    </row>
    <row r="73" spans="1:5" x14ac:dyDescent="0.75">
      <c r="A73" s="35" t="s">
        <v>168</v>
      </c>
      <c r="B73" s="36" t="s">
        <v>14</v>
      </c>
      <c r="C73" s="37">
        <v>56</v>
      </c>
      <c r="D73" s="39">
        <v>59</v>
      </c>
      <c r="E73" s="41">
        <v>14</v>
      </c>
    </row>
    <row r="74" spans="1:5" x14ac:dyDescent="0.75">
      <c r="A74" s="35" t="s">
        <v>169</v>
      </c>
      <c r="B74" s="36" t="s">
        <v>17</v>
      </c>
      <c r="C74" s="37">
        <v>51</v>
      </c>
      <c r="D74" s="39"/>
      <c r="E74" s="41"/>
    </row>
    <row r="75" spans="1:5" x14ac:dyDescent="0.75">
      <c r="A75" s="35" t="s">
        <v>170</v>
      </c>
      <c r="B75" s="36" t="s">
        <v>7</v>
      </c>
      <c r="C75" s="37">
        <v>68</v>
      </c>
      <c r="D75" s="39">
        <v>72</v>
      </c>
      <c r="E75" s="41">
        <v>5</v>
      </c>
    </row>
    <row r="76" spans="1:5" x14ac:dyDescent="0.75">
      <c r="A76" s="35" t="s">
        <v>171</v>
      </c>
      <c r="B76" s="36" t="s">
        <v>16</v>
      </c>
      <c r="C76" s="37">
        <v>57</v>
      </c>
      <c r="D76" s="39">
        <v>64</v>
      </c>
      <c r="E76" s="41"/>
    </row>
    <row r="77" spans="1:5" x14ac:dyDescent="0.75">
      <c r="A77" s="35" t="s">
        <v>172</v>
      </c>
      <c r="B77" s="36" t="s">
        <v>16</v>
      </c>
      <c r="C77" s="37">
        <v>45</v>
      </c>
      <c r="D77" s="39">
        <v>48</v>
      </c>
      <c r="E77" s="41"/>
    </row>
    <row r="78" spans="1:5" x14ac:dyDescent="0.75">
      <c r="A78" s="35" t="s">
        <v>173</v>
      </c>
      <c r="B78" s="36" t="s">
        <v>14</v>
      </c>
      <c r="C78" s="37">
        <v>54</v>
      </c>
      <c r="D78" s="39">
        <v>64</v>
      </c>
      <c r="E78" s="41">
        <v>11</v>
      </c>
    </row>
    <row r="79" spans="1:5" x14ac:dyDescent="0.75">
      <c r="A79" s="35" t="s">
        <v>174</v>
      </c>
      <c r="B79" s="36" t="s">
        <v>16</v>
      </c>
      <c r="C79" s="37">
        <v>51</v>
      </c>
      <c r="D79" s="39">
        <v>62</v>
      </c>
      <c r="E79" s="41"/>
    </row>
    <row r="80" spans="1:5" x14ac:dyDescent="0.75">
      <c r="A80" s="35" t="s">
        <v>175</v>
      </c>
      <c r="B80" s="36" t="s">
        <v>15</v>
      </c>
      <c r="C80" s="37">
        <v>46</v>
      </c>
      <c r="D80" s="39"/>
      <c r="E80" s="41"/>
    </row>
    <row r="81" spans="1:5" x14ac:dyDescent="0.75">
      <c r="A81" s="35" t="s">
        <v>176</v>
      </c>
      <c r="B81" s="36" t="s">
        <v>16</v>
      </c>
      <c r="C81" s="37">
        <v>66</v>
      </c>
      <c r="D81" s="39">
        <v>66</v>
      </c>
      <c r="E81" s="41"/>
    </row>
    <row r="82" spans="1:5" x14ac:dyDescent="0.75">
      <c r="A82" s="35" t="s">
        <v>177</v>
      </c>
      <c r="B82" s="36" t="s">
        <v>19</v>
      </c>
      <c r="C82" s="37">
        <v>62</v>
      </c>
      <c r="D82" s="39">
        <v>68</v>
      </c>
      <c r="E82" s="41">
        <v>17</v>
      </c>
    </row>
    <row r="83" spans="1:5" x14ac:dyDescent="0.75">
      <c r="A83" s="35" t="s">
        <v>178</v>
      </c>
      <c r="B83" s="36" t="s">
        <v>16</v>
      </c>
      <c r="C83" s="37">
        <v>57</v>
      </c>
      <c r="D83" s="39">
        <v>70</v>
      </c>
      <c r="E83" s="41"/>
    </row>
    <row r="84" spans="1:5" x14ac:dyDescent="0.75">
      <c r="A84" s="35" t="s">
        <v>179</v>
      </c>
      <c r="B84" s="36" t="s">
        <v>7</v>
      </c>
      <c r="C84" s="37">
        <v>47</v>
      </c>
      <c r="D84" s="39">
        <v>47</v>
      </c>
      <c r="E84" s="41">
        <v>7</v>
      </c>
    </row>
    <row r="85" spans="1:5" x14ac:dyDescent="0.75">
      <c r="A85" s="35" t="s">
        <v>180</v>
      </c>
      <c r="B85" s="36" t="s">
        <v>15</v>
      </c>
      <c r="C85" s="37">
        <v>54</v>
      </c>
      <c r="D85" s="39"/>
      <c r="E85" s="41"/>
    </row>
    <row r="86" spans="1:5" x14ac:dyDescent="0.75">
      <c r="A86" s="35" t="s">
        <v>181</v>
      </c>
      <c r="B86" s="36" t="s">
        <v>14</v>
      </c>
      <c r="C86" s="37">
        <v>42</v>
      </c>
      <c r="D86" s="39">
        <v>51</v>
      </c>
      <c r="E86" s="41">
        <v>10</v>
      </c>
    </row>
    <row r="87" spans="1:5" x14ac:dyDescent="0.75">
      <c r="A87" s="35" t="s">
        <v>182</v>
      </c>
      <c r="B87" s="36" t="s">
        <v>19</v>
      </c>
      <c r="C87" s="37">
        <v>45</v>
      </c>
      <c r="D87" s="39">
        <v>48</v>
      </c>
      <c r="E87" s="41">
        <v>9</v>
      </c>
    </row>
    <row r="88" spans="1:5" x14ac:dyDescent="0.75">
      <c r="A88" s="35" t="s">
        <v>183</v>
      </c>
      <c r="B88" s="36" t="s">
        <v>19</v>
      </c>
      <c r="C88" s="37">
        <v>60</v>
      </c>
      <c r="D88" s="39">
        <v>61</v>
      </c>
      <c r="E88" s="41">
        <v>13</v>
      </c>
    </row>
    <row r="89" spans="1:5" x14ac:dyDescent="0.75">
      <c r="A89" s="35" t="s">
        <v>184</v>
      </c>
      <c r="B89" s="36" t="s">
        <v>14</v>
      </c>
      <c r="C89" s="37">
        <v>63</v>
      </c>
      <c r="D89" s="39">
        <v>73</v>
      </c>
      <c r="E89" s="41">
        <v>6</v>
      </c>
    </row>
    <row r="90" spans="1:5" x14ac:dyDescent="0.75">
      <c r="A90" s="35" t="s">
        <v>185</v>
      </c>
      <c r="B90" s="36" t="s">
        <v>15</v>
      </c>
      <c r="C90" s="37">
        <v>70</v>
      </c>
      <c r="D90" s="39"/>
      <c r="E90" s="41"/>
    </row>
    <row r="91" spans="1:5" x14ac:dyDescent="0.75">
      <c r="A91" s="35" t="s">
        <v>186</v>
      </c>
      <c r="B91" s="36" t="s">
        <v>15</v>
      </c>
      <c r="C91" s="37">
        <v>69</v>
      </c>
      <c r="D91" s="39"/>
      <c r="E91" s="41"/>
    </row>
    <row r="92" spans="1:5" x14ac:dyDescent="0.75">
      <c r="A92" s="35" t="s">
        <v>187</v>
      </c>
      <c r="B92" s="36" t="s">
        <v>16</v>
      </c>
      <c r="C92" s="37">
        <v>63</v>
      </c>
      <c r="D92" s="39">
        <v>66</v>
      </c>
      <c r="E92" s="41"/>
    </row>
    <row r="93" spans="1:5" x14ac:dyDescent="0.75">
      <c r="A93" s="35" t="s">
        <v>188</v>
      </c>
      <c r="B93" s="36" t="s">
        <v>16</v>
      </c>
      <c r="C93" s="37">
        <v>68</v>
      </c>
      <c r="D93" s="39">
        <v>80</v>
      </c>
      <c r="E93" s="41"/>
    </row>
    <row r="94" spans="1:5" x14ac:dyDescent="0.75">
      <c r="A94" s="35" t="s">
        <v>189</v>
      </c>
      <c r="B94" s="36" t="s">
        <v>19</v>
      </c>
      <c r="C94" s="37">
        <v>63</v>
      </c>
      <c r="D94" s="39">
        <v>69</v>
      </c>
      <c r="E94" s="41">
        <v>17</v>
      </c>
    </row>
    <row r="95" spans="1:5" x14ac:dyDescent="0.75">
      <c r="A95" s="35" t="s">
        <v>190</v>
      </c>
      <c r="B95" s="36" t="s">
        <v>16</v>
      </c>
      <c r="C95" s="37">
        <v>45</v>
      </c>
      <c r="D95" s="39">
        <v>59</v>
      </c>
      <c r="E95" s="41"/>
    </row>
    <row r="96" spans="1:5" x14ac:dyDescent="0.75">
      <c r="A96" s="35" t="s">
        <v>191</v>
      </c>
      <c r="B96" s="36" t="s">
        <v>16</v>
      </c>
      <c r="C96" s="37">
        <v>55</v>
      </c>
      <c r="D96" s="39">
        <v>65</v>
      </c>
      <c r="E96" s="41"/>
    </row>
    <row r="97" spans="1:5" x14ac:dyDescent="0.75">
      <c r="A97" s="35" t="s">
        <v>192</v>
      </c>
      <c r="B97" s="36" t="s">
        <v>16</v>
      </c>
      <c r="C97" s="37">
        <v>68</v>
      </c>
      <c r="D97" s="39">
        <v>69</v>
      </c>
      <c r="E97" s="41"/>
    </row>
    <row r="98" spans="1:5" x14ac:dyDescent="0.75">
      <c r="A98" s="35" t="s">
        <v>193</v>
      </c>
      <c r="B98" s="36" t="s">
        <v>14</v>
      </c>
      <c r="C98" s="37">
        <v>65</v>
      </c>
      <c r="D98" s="39">
        <v>80</v>
      </c>
      <c r="E98" s="41">
        <v>12</v>
      </c>
    </row>
    <row r="99" spans="1:5" x14ac:dyDescent="0.75">
      <c r="A99" s="35" t="s">
        <v>194</v>
      </c>
      <c r="B99" s="36" t="s">
        <v>16</v>
      </c>
      <c r="C99" s="37">
        <v>58</v>
      </c>
      <c r="D99" s="39">
        <v>60</v>
      </c>
      <c r="E99" s="41"/>
    </row>
    <row r="100" spans="1:5" x14ac:dyDescent="0.75">
      <c r="A100" s="35" t="s">
        <v>195</v>
      </c>
      <c r="B100" s="36" t="s">
        <v>16</v>
      </c>
      <c r="C100" s="37">
        <v>41</v>
      </c>
      <c r="D100" s="39">
        <v>51</v>
      </c>
      <c r="E100" s="41"/>
    </row>
    <row r="101" spans="1:5" x14ac:dyDescent="0.75">
      <c r="A101" s="35" t="s">
        <v>196</v>
      </c>
      <c r="B101" s="36" t="s">
        <v>16</v>
      </c>
      <c r="C101" s="37">
        <v>61</v>
      </c>
      <c r="D101" s="39">
        <v>70</v>
      </c>
      <c r="E101" s="4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W104"/>
  <sheetViews>
    <sheetView zoomScale="27" zoomScaleNormal="29" workbookViewId="0">
      <selection activeCell="AH62" sqref="AH62"/>
    </sheetView>
  </sheetViews>
  <sheetFormatPr defaultRowHeight="14.75" x14ac:dyDescent="0.75"/>
  <cols>
    <col min="1" max="1" width="12.2265625" bestFit="1" customWidth="1"/>
    <col min="2" max="2" width="12" bestFit="1" customWidth="1"/>
    <col min="3" max="3" width="13.58984375" bestFit="1" customWidth="1"/>
    <col min="4" max="5" width="12" bestFit="1" customWidth="1"/>
    <col min="6" max="8" width="13.58984375" bestFit="1" customWidth="1"/>
    <col min="9" max="9" width="12" bestFit="1" customWidth="1"/>
    <col min="10" max="10" width="13.58984375" bestFit="1" customWidth="1"/>
    <col min="11" max="12" width="12" bestFit="1" customWidth="1"/>
    <col min="13" max="14" width="10.90625" bestFit="1" customWidth="1"/>
    <col min="15" max="15" width="12" bestFit="1" customWidth="1"/>
    <col min="16" max="16" width="10.90625" bestFit="1" customWidth="1"/>
    <col min="17" max="18" width="12" bestFit="1" customWidth="1"/>
    <col min="19" max="20" width="13.58984375" bestFit="1" customWidth="1"/>
    <col min="21" max="22" width="12" bestFit="1" customWidth="1"/>
    <col min="23" max="23" width="13.58984375" bestFit="1" customWidth="1"/>
    <col min="24" max="24" width="10.90625" bestFit="1" customWidth="1"/>
    <col min="25" max="25" width="12" bestFit="1" customWidth="1"/>
    <col min="26" max="26" width="10.90625" bestFit="1" customWidth="1"/>
    <col min="27" max="32" width="12" bestFit="1" customWidth="1"/>
    <col min="33" max="33" width="10.90625" bestFit="1" customWidth="1"/>
    <col min="34" max="37" width="12" bestFit="1" customWidth="1"/>
    <col min="38" max="39" width="13.58984375" bestFit="1" customWidth="1"/>
    <col min="40" max="40" width="12" bestFit="1" customWidth="1"/>
    <col min="41" max="41" width="10.90625" bestFit="1" customWidth="1"/>
    <col min="42" max="43" width="13.58984375" bestFit="1" customWidth="1"/>
    <col min="44" max="44" width="10.90625" bestFit="1" customWidth="1"/>
    <col min="45" max="45" width="12" bestFit="1" customWidth="1"/>
    <col min="46" max="46" width="13.58984375" bestFit="1" customWidth="1"/>
    <col min="47" max="48" width="12" bestFit="1" customWidth="1"/>
    <col min="49" max="49" width="13.58984375" bestFit="1" customWidth="1"/>
    <col min="50" max="55" width="12" bestFit="1" customWidth="1"/>
    <col min="56" max="57" width="13.58984375" bestFit="1" customWidth="1"/>
    <col min="58" max="59" width="12" bestFit="1" customWidth="1"/>
    <col min="60" max="60" width="13.58984375" bestFit="1" customWidth="1"/>
    <col min="61" max="63" width="12" bestFit="1" customWidth="1"/>
    <col min="64" max="65" width="13.58984375" bestFit="1" customWidth="1"/>
    <col min="66" max="67" width="12" bestFit="1" customWidth="1"/>
    <col min="68" max="69" width="13.58984375" bestFit="1" customWidth="1"/>
    <col min="70" max="73" width="12" bestFit="1" customWidth="1"/>
    <col min="74" max="74" width="13.58984375" bestFit="1" customWidth="1"/>
    <col min="75" max="79" width="12" bestFit="1" customWidth="1"/>
    <col min="80" max="80" width="13.58984375" bestFit="1" customWidth="1"/>
    <col min="81" max="84" width="12" bestFit="1" customWidth="1"/>
    <col min="85" max="85" width="13.58984375" bestFit="1" customWidth="1"/>
    <col min="86" max="88" width="12" bestFit="1" customWidth="1"/>
    <col min="89" max="89" width="10.90625" bestFit="1" customWidth="1"/>
    <col min="90" max="91" width="13.58984375" bestFit="1" customWidth="1"/>
    <col min="92" max="101" width="12" bestFit="1" customWidth="1"/>
  </cols>
  <sheetData>
    <row r="1" spans="1:101" x14ac:dyDescent="0.75">
      <c r="A1" s="33" t="s">
        <v>197</v>
      </c>
      <c r="B1" s="20" t="s">
        <v>97</v>
      </c>
      <c r="C1" s="20" t="s">
        <v>98</v>
      </c>
      <c r="D1" s="20" t="s">
        <v>99</v>
      </c>
      <c r="E1" s="20" t="s">
        <v>100</v>
      </c>
      <c r="F1" s="20" t="s">
        <v>101</v>
      </c>
      <c r="G1" s="20" t="s">
        <v>102</v>
      </c>
      <c r="H1" s="20" t="s">
        <v>103</v>
      </c>
      <c r="I1" s="20" t="s">
        <v>104</v>
      </c>
      <c r="J1" s="20" t="s">
        <v>105</v>
      </c>
      <c r="K1" s="20" t="s">
        <v>106</v>
      </c>
      <c r="L1" s="20" t="s">
        <v>107</v>
      </c>
      <c r="M1" s="20" t="s">
        <v>108</v>
      </c>
      <c r="N1" s="20" t="s">
        <v>109</v>
      </c>
      <c r="O1" s="20" t="s">
        <v>110</v>
      </c>
      <c r="P1" s="20" t="s">
        <v>111</v>
      </c>
      <c r="Q1" s="20" t="s">
        <v>112</v>
      </c>
      <c r="R1" s="20" t="s">
        <v>113</v>
      </c>
      <c r="S1" s="20" t="s">
        <v>114</v>
      </c>
      <c r="T1" s="20" t="s">
        <v>115</v>
      </c>
      <c r="U1" s="20" t="s">
        <v>116</v>
      </c>
      <c r="V1" s="20" t="s">
        <v>117</v>
      </c>
      <c r="W1" s="20" t="s">
        <v>118</v>
      </c>
      <c r="X1" s="20" t="s">
        <v>119</v>
      </c>
      <c r="Y1" s="20" t="s">
        <v>120</v>
      </c>
      <c r="Z1" s="20" t="s">
        <v>121</v>
      </c>
      <c r="AA1" s="20" t="s">
        <v>122</v>
      </c>
      <c r="AB1" s="20" t="s">
        <v>123</v>
      </c>
      <c r="AC1" s="20" t="s">
        <v>124</v>
      </c>
      <c r="AD1" s="20" t="s">
        <v>125</v>
      </c>
      <c r="AE1" s="20" t="s">
        <v>126</v>
      </c>
      <c r="AF1" s="20" t="s">
        <v>127</v>
      </c>
      <c r="AG1" s="20" t="s">
        <v>128</v>
      </c>
      <c r="AH1" s="20" t="s">
        <v>129</v>
      </c>
      <c r="AI1" s="20" t="s">
        <v>130</v>
      </c>
      <c r="AJ1" s="20" t="s">
        <v>131</v>
      </c>
      <c r="AK1" s="20" t="s">
        <v>132</v>
      </c>
      <c r="AL1" s="20" t="s">
        <v>133</v>
      </c>
      <c r="AM1" s="20" t="s">
        <v>134</v>
      </c>
      <c r="AN1" s="20" t="s">
        <v>135</v>
      </c>
      <c r="AO1" s="20" t="s">
        <v>136</v>
      </c>
      <c r="AP1" s="20" t="s">
        <v>137</v>
      </c>
      <c r="AQ1" s="20" t="s">
        <v>138</v>
      </c>
      <c r="AR1" s="20" t="s">
        <v>139</v>
      </c>
      <c r="AS1" s="20" t="s">
        <v>140</v>
      </c>
      <c r="AT1" s="20" t="s">
        <v>141</v>
      </c>
      <c r="AU1" s="20" t="s">
        <v>142</v>
      </c>
      <c r="AV1" s="20" t="s">
        <v>143</v>
      </c>
      <c r="AW1" s="20" t="s">
        <v>144</v>
      </c>
      <c r="AX1" s="20" t="s">
        <v>145</v>
      </c>
      <c r="AY1" s="20" t="s">
        <v>146</v>
      </c>
      <c r="AZ1" s="20" t="s">
        <v>147</v>
      </c>
      <c r="BA1" s="20" t="s">
        <v>148</v>
      </c>
      <c r="BB1" s="20" t="s">
        <v>149</v>
      </c>
      <c r="BC1" s="20" t="s">
        <v>150</v>
      </c>
      <c r="BD1" s="20" t="s">
        <v>151</v>
      </c>
      <c r="BE1" s="20" t="s">
        <v>152</v>
      </c>
      <c r="BF1" s="20" t="s">
        <v>153</v>
      </c>
      <c r="BG1" s="20" t="s">
        <v>154</v>
      </c>
      <c r="BH1" s="20" t="s">
        <v>155</v>
      </c>
      <c r="BI1" s="20" t="s">
        <v>156</v>
      </c>
      <c r="BJ1" s="20" t="s">
        <v>157</v>
      </c>
      <c r="BK1" s="20" t="s">
        <v>158</v>
      </c>
      <c r="BL1" s="20" t="s">
        <v>159</v>
      </c>
      <c r="BM1" s="20" t="s">
        <v>160</v>
      </c>
      <c r="BN1" s="20" t="s">
        <v>161</v>
      </c>
      <c r="BO1" s="20" t="s">
        <v>162</v>
      </c>
      <c r="BP1" s="20" t="s">
        <v>163</v>
      </c>
      <c r="BQ1" s="20" t="s">
        <v>164</v>
      </c>
      <c r="BR1" s="20" t="s">
        <v>165</v>
      </c>
      <c r="BS1" s="20" t="s">
        <v>166</v>
      </c>
      <c r="BT1" s="20" t="s">
        <v>167</v>
      </c>
      <c r="BU1" s="20" t="s">
        <v>168</v>
      </c>
      <c r="BV1" s="20" t="s">
        <v>169</v>
      </c>
      <c r="BW1" s="20" t="s">
        <v>170</v>
      </c>
      <c r="BX1" s="20" t="s">
        <v>171</v>
      </c>
      <c r="BY1" s="20" t="s">
        <v>172</v>
      </c>
      <c r="BZ1" s="20" t="s">
        <v>173</v>
      </c>
      <c r="CA1" s="20" t="s">
        <v>174</v>
      </c>
      <c r="CB1" s="20" t="s">
        <v>175</v>
      </c>
      <c r="CC1" s="20" t="s">
        <v>176</v>
      </c>
      <c r="CD1" s="20" t="s">
        <v>177</v>
      </c>
      <c r="CE1" s="20" t="s">
        <v>178</v>
      </c>
      <c r="CF1" s="20" t="s">
        <v>179</v>
      </c>
      <c r="CG1" s="20" t="s">
        <v>180</v>
      </c>
      <c r="CH1" s="20" t="s">
        <v>181</v>
      </c>
      <c r="CI1" s="20" t="s">
        <v>182</v>
      </c>
      <c r="CJ1" s="20" t="s">
        <v>183</v>
      </c>
      <c r="CK1" s="20" t="s">
        <v>184</v>
      </c>
      <c r="CL1" s="20" t="s">
        <v>185</v>
      </c>
      <c r="CM1" s="20" t="s">
        <v>186</v>
      </c>
      <c r="CN1" s="20" t="s">
        <v>187</v>
      </c>
      <c r="CO1" s="20" t="s">
        <v>188</v>
      </c>
      <c r="CP1" s="20" t="s">
        <v>189</v>
      </c>
      <c r="CQ1" s="20" t="s">
        <v>190</v>
      </c>
      <c r="CR1" s="20" t="s">
        <v>191</v>
      </c>
      <c r="CS1" s="20" t="s">
        <v>192</v>
      </c>
      <c r="CT1" s="20" t="s">
        <v>193</v>
      </c>
      <c r="CU1" s="20" t="s">
        <v>194</v>
      </c>
      <c r="CV1" s="20" t="s">
        <v>195</v>
      </c>
      <c r="CW1" s="20" t="s">
        <v>196</v>
      </c>
    </row>
    <row r="2" spans="1:101" x14ac:dyDescent="0.75">
      <c r="A2" s="33"/>
      <c r="B2" s="21" t="s">
        <v>7</v>
      </c>
      <c r="C2" s="21" t="s">
        <v>17</v>
      </c>
      <c r="D2" s="21" t="s">
        <v>16</v>
      </c>
      <c r="E2" s="21" t="s">
        <v>14</v>
      </c>
      <c r="F2" s="21" t="s">
        <v>15</v>
      </c>
      <c r="G2" s="21" t="s">
        <v>15</v>
      </c>
      <c r="H2" s="21" t="s">
        <v>17</v>
      </c>
      <c r="I2" s="21" t="s">
        <v>16</v>
      </c>
      <c r="J2" s="21" t="s">
        <v>17</v>
      </c>
      <c r="K2" s="21" t="s">
        <v>7</v>
      </c>
      <c r="L2" s="21" t="s">
        <v>19</v>
      </c>
      <c r="M2" s="21" t="s">
        <v>14</v>
      </c>
      <c r="N2" s="21" t="s">
        <v>14</v>
      </c>
      <c r="O2" s="21" t="s">
        <v>14</v>
      </c>
      <c r="P2" s="21" t="s">
        <v>18</v>
      </c>
      <c r="Q2" s="21" t="s">
        <v>19</v>
      </c>
      <c r="R2" s="21" t="s">
        <v>7</v>
      </c>
      <c r="S2" s="21" t="s">
        <v>15</v>
      </c>
      <c r="T2" s="21" t="s">
        <v>15</v>
      </c>
      <c r="U2" s="21" t="s">
        <v>16</v>
      </c>
      <c r="V2" s="21" t="s">
        <v>18</v>
      </c>
      <c r="W2" s="21" t="s">
        <v>17</v>
      </c>
      <c r="X2" s="21" t="s">
        <v>14</v>
      </c>
      <c r="Y2" s="21" t="s">
        <v>7</v>
      </c>
      <c r="Z2" s="21" t="s">
        <v>19</v>
      </c>
      <c r="AA2" s="21" t="s">
        <v>7</v>
      </c>
      <c r="AB2" s="21" t="s">
        <v>14</v>
      </c>
      <c r="AC2" s="21" t="s">
        <v>16</v>
      </c>
      <c r="AD2" s="21" t="s">
        <v>19</v>
      </c>
      <c r="AE2" s="21" t="s">
        <v>14</v>
      </c>
      <c r="AF2" s="21" t="s">
        <v>14</v>
      </c>
      <c r="AG2" s="21" t="s">
        <v>14</v>
      </c>
      <c r="AH2" s="21" t="s">
        <v>14</v>
      </c>
      <c r="AI2" s="21" t="s">
        <v>7</v>
      </c>
      <c r="AJ2" s="21" t="s">
        <v>14</v>
      </c>
      <c r="AK2" s="21" t="s">
        <v>14</v>
      </c>
      <c r="AL2" s="21" t="s">
        <v>15</v>
      </c>
      <c r="AM2" s="21" t="s">
        <v>15</v>
      </c>
      <c r="AN2" s="21" t="s">
        <v>16</v>
      </c>
      <c r="AO2" s="21" t="s">
        <v>14</v>
      </c>
      <c r="AP2" s="21" t="s">
        <v>15</v>
      </c>
      <c r="AQ2" s="21" t="s">
        <v>15</v>
      </c>
      <c r="AR2" s="21" t="s">
        <v>19</v>
      </c>
      <c r="AS2" s="21" t="s">
        <v>18</v>
      </c>
      <c r="AT2" s="21" t="s">
        <v>17</v>
      </c>
      <c r="AU2" s="21" t="s">
        <v>19</v>
      </c>
      <c r="AV2" s="21" t="s">
        <v>18</v>
      </c>
      <c r="AW2" s="21" t="s">
        <v>15</v>
      </c>
      <c r="AX2" s="21" t="s">
        <v>18</v>
      </c>
      <c r="AY2" s="21" t="s">
        <v>19</v>
      </c>
      <c r="AZ2" s="21" t="s">
        <v>7</v>
      </c>
      <c r="BA2" s="21" t="s">
        <v>16</v>
      </c>
      <c r="BB2" s="21" t="s">
        <v>16</v>
      </c>
      <c r="BC2" s="21" t="s">
        <v>14</v>
      </c>
      <c r="BD2" s="21" t="s">
        <v>17</v>
      </c>
      <c r="BE2" s="21" t="s">
        <v>15</v>
      </c>
      <c r="BF2" s="21" t="s">
        <v>16</v>
      </c>
      <c r="BG2" s="21" t="s">
        <v>16</v>
      </c>
      <c r="BH2" s="21" t="s">
        <v>17</v>
      </c>
      <c r="BI2" s="21" t="s">
        <v>14</v>
      </c>
      <c r="BJ2" s="21" t="s">
        <v>14</v>
      </c>
      <c r="BK2" s="21" t="s">
        <v>19</v>
      </c>
      <c r="BL2" s="21" t="s">
        <v>17</v>
      </c>
      <c r="BM2" s="21" t="s">
        <v>15</v>
      </c>
      <c r="BN2" s="21" t="s">
        <v>14</v>
      </c>
      <c r="BO2" s="21" t="s">
        <v>19</v>
      </c>
      <c r="BP2" s="21" t="s">
        <v>15</v>
      </c>
      <c r="BQ2" s="21" t="s">
        <v>15</v>
      </c>
      <c r="BR2" s="21" t="s">
        <v>16</v>
      </c>
      <c r="BS2" s="21" t="s">
        <v>19</v>
      </c>
      <c r="BT2" s="21" t="s">
        <v>19</v>
      </c>
      <c r="BU2" s="21" t="s">
        <v>14</v>
      </c>
      <c r="BV2" s="21" t="s">
        <v>17</v>
      </c>
      <c r="BW2" s="21" t="s">
        <v>7</v>
      </c>
      <c r="BX2" s="21" t="s">
        <v>16</v>
      </c>
      <c r="BY2" s="21" t="s">
        <v>16</v>
      </c>
      <c r="BZ2" s="21" t="s">
        <v>14</v>
      </c>
      <c r="CA2" s="21" t="s">
        <v>16</v>
      </c>
      <c r="CB2" s="21" t="s">
        <v>15</v>
      </c>
      <c r="CC2" s="21" t="s">
        <v>16</v>
      </c>
      <c r="CD2" s="21" t="s">
        <v>19</v>
      </c>
      <c r="CE2" s="21" t="s">
        <v>16</v>
      </c>
      <c r="CF2" s="21" t="s">
        <v>7</v>
      </c>
      <c r="CG2" s="21" t="s">
        <v>15</v>
      </c>
      <c r="CH2" s="21" t="s">
        <v>14</v>
      </c>
      <c r="CI2" s="21" t="s">
        <v>19</v>
      </c>
      <c r="CJ2" s="21" t="s">
        <v>19</v>
      </c>
      <c r="CK2" s="21" t="s">
        <v>14</v>
      </c>
      <c r="CL2" s="21" t="s">
        <v>15</v>
      </c>
      <c r="CM2" s="21" t="s">
        <v>15</v>
      </c>
      <c r="CN2" s="21" t="s">
        <v>16</v>
      </c>
      <c r="CO2" s="21" t="s">
        <v>16</v>
      </c>
      <c r="CP2" s="21" t="s">
        <v>19</v>
      </c>
      <c r="CQ2" s="21" t="s">
        <v>16</v>
      </c>
      <c r="CR2" s="21" t="s">
        <v>16</v>
      </c>
      <c r="CS2" s="21" t="s">
        <v>16</v>
      </c>
      <c r="CT2" s="21" t="s">
        <v>14</v>
      </c>
      <c r="CU2" s="21" t="s">
        <v>16</v>
      </c>
      <c r="CV2" s="21" t="s">
        <v>16</v>
      </c>
      <c r="CW2" s="21" t="s">
        <v>16</v>
      </c>
    </row>
    <row r="3" spans="1:101" x14ac:dyDescent="0.75">
      <c r="A3" s="22">
        <v>1</v>
      </c>
      <c r="B3" s="15">
        <v>0</v>
      </c>
      <c r="C3" s="15">
        <v>0</v>
      </c>
      <c r="D3" s="15">
        <v>0</v>
      </c>
      <c r="E3" s="15">
        <v>0</v>
      </c>
      <c r="F3" s="15">
        <v>0</v>
      </c>
      <c r="G3" s="15">
        <v>0</v>
      </c>
      <c r="H3" s="15">
        <v>64000</v>
      </c>
      <c r="I3" s="15">
        <v>0</v>
      </c>
      <c r="J3" s="15">
        <v>0</v>
      </c>
      <c r="K3" s="15">
        <v>0</v>
      </c>
      <c r="L3" s="15">
        <v>0</v>
      </c>
      <c r="M3" s="15">
        <v>0</v>
      </c>
      <c r="N3" s="15">
        <v>0</v>
      </c>
      <c r="O3" s="15">
        <v>0</v>
      </c>
      <c r="P3" s="15">
        <v>0</v>
      </c>
      <c r="Q3" s="15">
        <v>0</v>
      </c>
      <c r="R3" s="15">
        <v>0</v>
      </c>
      <c r="S3" s="15">
        <v>0</v>
      </c>
      <c r="T3" s="15">
        <v>0</v>
      </c>
      <c r="U3" s="15">
        <v>7200</v>
      </c>
      <c r="V3" s="15">
        <v>0</v>
      </c>
      <c r="W3" s="15">
        <v>0</v>
      </c>
      <c r="X3" s="15">
        <v>0</v>
      </c>
      <c r="Y3" s="15">
        <v>0</v>
      </c>
      <c r="Z3" s="15">
        <v>0</v>
      </c>
      <c r="AA3" s="15">
        <v>0</v>
      </c>
      <c r="AB3" s="15">
        <v>0</v>
      </c>
      <c r="AC3" s="15">
        <v>0</v>
      </c>
      <c r="AD3" s="15">
        <v>0</v>
      </c>
      <c r="AE3" s="15">
        <v>0</v>
      </c>
      <c r="AF3" s="15">
        <v>15000</v>
      </c>
      <c r="AG3" s="15">
        <v>0</v>
      </c>
      <c r="AH3" s="15">
        <v>0</v>
      </c>
      <c r="AI3" s="15">
        <v>0</v>
      </c>
      <c r="AJ3" s="15">
        <v>0</v>
      </c>
      <c r="AK3" s="15">
        <v>0</v>
      </c>
      <c r="AL3" s="15">
        <v>0</v>
      </c>
      <c r="AM3" s="15">
        <v>27000</v>
      </c>
      <c r="AN3" s="15">
        <v>0</v>
      </c>
      <c r="AO3" s="15">
        <v>0</v>
      </c>
      <c r="AP3" s="15">
        <v>0</v>
      </c>
      <c r="AQ3" s="15">
        <v>0</v>
      </c>
      <c r="AR3" s="15">
        <v>0</v>
      </c>
      <c r="AS3" s="15">
        <v>0</v>
      </c>
      <c r="AT3" s="15">
        <v>0</v>
      </c>
      <c r="AU3" s="15">
        <v>0</v>
      </c>
      <c r="AV3" s="15">
        <v>0</v>
      </c>
      <c r="AW3" s="15">
        <v>0</v>
      </c>
      <c r="AX3" s="15">
        <v>0</v>
      </c>
      <c r="AY3" s="15">
        <v>0</v>
      </c>
      <c r="AZ3" s="15">
        <v>0</v>
      </c>
      <c r="BA3" s="15">
        <v>0</v>
      </c>
      <c r="BB3" s="15">
        <v>0</v>
      </c>
      <c r="BC3" s="15">
        <v>0</v>
      </c>
      <c r="BD3" s="15">
        <v>0</v>
      </c>
      <c r="BE3" s="15">
        <v>0</v>
      </c>
      <c r="BF3" s="15">
        <v>0</v>
      </c>
      <c r="BG3" s="15">
        <v>0</v>
      </c>
      <c r="BH3" s="15">
        <v>0</v>
      </c>
      <c r="BI3" s="15">
        <v>0</v>
      </c>
      <c r="BJ3" s="15">
        <v>0</v>
      </c>
      <c r="BK3" s="15">
        <v>0</v>
      </c>
      <c r="BL3" s="15">
        <v>0</v>
      </c>
      <c r="BM3" s="15">
        <v>0</v>
      </c>
      <c r="BN3" s="15">
        <v>0</v>
      </c>
      <c r="BO3" s="15">
        <v>0</v>
      </c>
      <c r="BP3" s="15">
        <v>0</v>
      </c>
      <c r="BQ3" s="15">
        <v>0</v>
      </c>
      <c r="BR3" s="15">
        <v>0</v>
      </c>
      <c r="BS3" s="15">
        <v>30000</v>
      </c>
      <c r="BT3" s="15">
        <v>0</v>
      </c>
      <c r="BU3" s="15">
        <v>0</v>
      </c>
      <c r="BV3" s="15">
        <v>0</v>
      </c>
      <c r="BW3" s="15">
        <v>0</v>
      </c>
      <c r="BX3" s="15">
        <v>0</v>
      </c>
      <c r="BY3" s="15">
        <v>0</v>
      </c>
      <c r="BZ3" s="15">
        <v>0</v>
      </c>
      <c r="CA3" s="15">
        <v>0</v>
      </c>
      <c r="CB3" s="15">
        <v>0</v>
      </c>
      <c r="CC3" s="15">
        <v>7200</v>
      </c>
      <c r="CD3" s="15">
        <v>0</v>
      </c>
      <c r="CE3" s="15">
        <v>0</v>
      </c>
      <c r="CF3" s="15">
        <v>19000</v>
      </c>
      <c r="CG3" s="15">
        <v>0</v>
      </c>
      <c r="CH3" s="15">
        <v>0</v>
      </c>
      <c r="CI3" s="15">
        <v>0</v>
      </c>
      <c r="CJ3" s="15">
        <v>0</v>
      </c>
      <c r="CK3" s="15">
        <v>0</v>
      </c>
      <c r="CL3" s="15">
        <v>30000</v>
      </c>
      <c r="CM3" s="15">
        <v>29000</v>
      </c>
      <c r="CN3" s="15">
        <v>0</v>
      </c>
      <c r="CO3" s="15">
        <v>0</v>
      </c>
      <c r="CP3" s="15">
        <v>0</v>
      </c>
      <c r="CQ3" s="15">
        <v>0</v>
      </c>
      <c r="CR3" s="15">
        <v>0</v>
      </c>
      <c r="CS3" s="15">
        <v>0</v>
      </c>
      <c r="CT3" s="15">
        <v>0</v>
      </c>
      <c r="CU3" s="15">
        <v>0</v>
      </c>
      <c r="CV3" s="15">
        <v>0</v>
      </c>
      <c r="CW3" s="15">
        <v>0</v>
      </c>
    </row>
    <row r="4" spans="1:101" x14ac:dyDescent="0.75">
      <c r="A4" s="22">
        <v>2</v>
      </c>
      <c r="B4" s="15">
        <v>0</v>
      </c>
      <c r="C4" s="15">
        <v>0</v>
      </c>
      <c r="D4" s="15">
        <v>0</v>
      </c>
      <c r="E4" s="15">
        <v>0</v>
      </c>
      <c r="F4" s="15">
        <v>0</v>
      </c>
      <c r="G4" s="15">
        <v>0</v>
      </c>
      <c r="H4" s="15">
        <v>65000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5">
        <v>15000</v>
      </c>
      <c r="O4" s="15">
        <v>0</v>
      </c>
      <c r="P4" s="15">
        <v>0</v>
      </c>
      <c r="Q4" s="15">
        <v>0</v>
      </c>
      <c r="R4" s="15">
        <v>0</v>
      </c>
      <c r="S4" s="15">
        <v>0</v>
      </c>
      <c r="T4" s="15">
        <v>0</v>
      </c>
      <c r="U4" s="15">
        <v>7200</v>
      </c>
      <c r="V4" s="15">
        <v>0</v>
      </c>
      <c r="W4" s="15">
        <v>0</v>
      </c>
      <c r="X4" s="15">
        <v>0</v>
      </c>
      <c r="Y4" s="15">
        <v>0</v>
      </c>
      <c r="Z4" s="15">
        <v>0</v>
      </c>
      <c r="AA4" s="15">
        <v>0</v>
      </c>
      <c r="AB4" s="15">
        <v>0</v>
      </c>
      <c r="AC4" s="15">
        <v>0</v>
      </c>
      <c r="AD4" s="15">
        <v>0</v>
      </c>
      <c r="AE4" s="15">
        <v>0</v>
      </c>
      <c r="AF4" s="15">
        <v>15000</v>
      </c>
      <c r="AG4" s="15">
        <v>0</v>
      </c>
      <c r="AH4" s="15">
        <v>15000</v>
      </c>
      <c r="AI4" s="15">
        <v>0</v>
      </c>
      <c r="AJ4" s="15">
        <v>0</v>
      </c>
      <c r="AK4" s="15">
        <v>15000</v>
      </c>
      <c r="AL4" s="15">
        <v>0</v>
      </c>
      <c r="AM4" s="15">
        <v>28000</v>
      </c>
      <c r="AN4" s="15">
        <v>0</v>
      </c>
      <c r="AO4" s="15">
        <v>0</v>
      </c>
      <c r="AP4" s="15">
        <v>0</v>
      </c>
      <c r="AQ4" s="15">
        <v>0</v>
      </c>
      <c r="AR4" s="15">
        <v>0</v>
      </c>
      <c r="AS4" s="15">
        <v>0</v>
      </c>
      <c r="AT4" s="15">
        <v>0</v>
      </c>
      <c r="AU4" s="15">
        <v>0</v>
      </c>
      <c r="AV4" s="15">
        <v>0</v>
      </c>
      <c r="AW4" s="15">
        <v>0</v>
      </c>
      <c r="AX4" s="15">
        <v>0</v>
      </c>
      <c r="AY4" s="15">
        <v>30000</v>
      </c>
      <c r="AZ4" s="15">
        <v>0</v>
      </c>
      <c r="BA4" s="15">
        <v>0</v>
      </c>
      <c r="BB4" s="15">
        <v>7200</v>
      </c>
      <c r="BC4" s="15">
        <v>15000</v>
      </c>
      <c r="BD4" s="15">
        <v>0</v>
      </c>
      <c r="BE4" s="15">
        <v>0</v>
      </c>
      <c r="BF4" s="15">
        <v>0</v>
      </c>
      <c r="BG4" s="15">
        <v>0</v>
      </c>
      <c r="BH4" s="15">
        <v>0</v>
      </c>
      <c r="BI4" s="15">
        <v>0</v>
      </c>
      <c r="BJ4" s="15">
        <v>0</v>
      </c>
      <c r="BK4" s="15">
        <v>0</v>
      </c>
      <c r="BL4" s="15">
        <v>0</v>
      </c>
      <c r="BM4" s="15">
        <v>0</v>
      </c>
      <c r="BN4" s="15">
        <v>0</v>
      </c>
      <c r="BO4" s="15">
        <v>0</v>
      </c>
      <c r="BP4" s="15">
        <v>0</v>
      </c>
      <c r="BQ4" s="15">
        <v>0</v>
      </c>
      <c r="BR4" s="15">
        <v>0</v>
      </c>
      <c r="BS4" s="15">
        <v>0</v>
      </c>
      <c r="BT4" s="15">
        <v>0</v>
      </c>
      <c r="BU4" s="15">
        <v>0</v>
      </c>
      <c r="BV4" s="15">
        <v>0</v>
      </c>
      <c r="BW4" s="15">
        <v>0</v>
      </c>
      <c r="BX4" s="15">
        <v>0</v>
      </c>
      <c r="BY4" s="15">
        <v>0</v>
      </c>
      <c r="BZ4" s="15">
        <v>0</v>
      </c>
      <c r="CA4" s="15">
        <v>0</v>
      </c>
      <c r="CB4" s="15">
        <v>0</v>
      </c>
      <c r="CC4" s="15">
        <v>7200</v>
      </c>
      <c r="CD4" s="15">
        <v>0</v>
      </c>
      <c r="CE4" s="15">
        <v>0</v>
      </c>
      <c r="CF4" s="15">
        <v>19000</v>
      </c>
      <c r="CG4" s="15">
        <v>0</v>
      </c>
      <c r="CH4" s="15">
        <v>0</v>
      </c>
      <c r="CI4" s="15">
        <v>0</v>
      </c>
      <c r="CJ4" s="15">
        <v>30000</v>
      </c>
      <c r="CK4" s="15">
        <v>0</v>
      </c>
      <c r="CL4" s="15">
        <v>31000</v>
      </c>
      <c r="CM4" s="15">
        <v>30000</v>
      </c>
      <c r="CN4" s="15">
        <v>0</v>
      </c>
      <c r="CO4" s="15">
        <v>0</v>
      </c>
      <c r="CP4" s="15">
        <v>0</v>
      </c>
      <c r="CQ4" s="15">
        <v>0</v>
      </c>
      <c r="CR4" s="15">
        <v>0</v>
      </c>
      <c r="CS4" s="15">
        <v>7200</v>
      </c>
      <c r="CT4" s="15">
        <v>0</v>
      </c>
      <c r="CU4" s="15">
        <v>0</v>
      </c>
      <c r="CV4" s="15">
        <v>0</v>
      </c>
      <c r="CW4" s="15">
        <v>0</v>
      </c>
    </row>
    <row r="5" spans="1:101" x14ac:dyDescent="0.75">
      <c r="A5" s="22">
        <v>3</v>
      </c>
      <c r="B5" s="15">
        <v>0</v>
      </c>
      <c r="C5" s="15">
        <v>0</v>
      </c>
      <c r="D5" s="15">
        <v>0</v>
      </c>
      <c r="E5" s="15">
        <v>0</v>
      </c>
      <c r="F5" s="15">
        <v>0</v>
      </c>
      <c r="G5" s="15">
        <v>25000</v>
      </c>
      <c r="H5" s="15">
        <v>66000</v>
      </c>
      <c r="I5" s="15">
        <v>0</v>
      </c>
      <c r="J5" s="15">
        <v>0</v>
      </c>
      <c r="K5" s="15">
        <v>0</v>
      </c>
      <c r="L5" s="15">
        <v>0</v>
      </c>
      <c r="M5" s="15">
        <v>0</v>
      </c>
      <c r="N5" s="15">
        <v>15000</v>
      </c>
      <c r="O5" s="15">
        <v>0</v>
      </c>
      <c r="P5" s="15">
        <v>0</v>
      </c>
      <c r="Q5" s="15">
        <v>30000</v>
      </c>
      <c r="R5" s="15">
        <v>0</v>
      </c>
      <c r="S5" s="15">
        <v>0</v>
      </c>
      <c r="T5" s="15">
        <v>0</v>
      </c>
      <c r="U5" s="15">
        <v>7200</v>
      </c>
      <c r="V5" s="15">
        <v>0</v>
      </c>
      <c r="W5" s="15">
        <v>60000</v>
      </c>
      <c r="X5" s="15">
        <v>0</v>
      </c>
      <c r="Y5" s="15">
        <v>0</v>
      </c>
      <c r="Z5" s="15">
        <v>0</v>
      </c>
      <c r="AA5" s="15">
        <v>0</v>
      </c>
      <c r="AB5" s="15">
        <v>0</v>
      </c>
      <c r="AC5" s="15">
        <v>0</v>
      </c>
      <c r="AD5" s="15">
        <v>0</v>
      </c>
      <c r="AE5" s="15">
        <v>0</v>
      </c>
      <c r="AF5" s="15">
        <v>15000</v>
      </c>
      <c r="AG5" s="15">
        <v>0</v>
      </c>
      <c r="AH5" s="15">
        <v>15000</v>
      </c>
      <c r="AI5" s="15">
        <v>0</v>
      </c>
      <c r="AJ5" s="15">
        <v>0</v>
      </c>
      <c r="AK5" s="15">
        <v>15000</v>
      </c>
      <c r="AL5" s="15">
        <v>0</v>
      </c>
      <c r="AM5" s="15">
        <v>29000</v>
      </c>
      <c r="AN5" s="15">
        <v>7200</v>
      </c>
      <c r="AO5" s="15">
        <v>0</v>
      </c>
      <c r="AP5" s="15">
        <v>0</v>
      </c>
      <c r="AQ5" s="15">
        <v>0</v>
      </c>
      <c r="AR5" s="15">
        <v>0</v>
      </c>
      <c r="AS5" s="15">
        <v>0</v>
      </c>
      <c r="AT5" s="15">
        <v>0</v>
      </c>
      <c r="AU5" s="15">
        <v>0</v>
      </c>
      <c r="AV5" s="15">
        <v>20000</v>
      </c>
      <c r="AW5" s="15">
        <v>0</v>
      </c>
      <c r="AX5" s="15">
        <v>0</v>
      </c>
      <c r="AY5" s="15">
        <v>0</v>
      </c>
      <c r="AZ5" s="15">
        <v>0</v>
      </c>
      <c r="BA5" s="15">
        <v>0</v>
      </c>
      <c r="BB5" s="15">
        <v>7200</v>
      </c>
      <c r="BC5" s="15">
        <v>15000</v>
      </c>
      <c r="BD5" s="15">
        <v>0</v>
      </c>
      <c r="BE5" s="15">
        <v>0</v>
      </c>
      <c r="BF5" s="15">
        <v>0</v>
      </c>
      <c r="BG5" s="15">
        <v>0</v>
      </c>
      <c r="BH5" s="15">
        <v>0</v>
      </c>
      <c r="BI5" s="15">
        <v>0</v>
      </c>
      <c r="BJ5" s="15">
        <v>0</v>
      </c>
      <c r="BK5" s="15">
        <v>0</v>
      </c>
      <c r="BL5" s="15">
        <v>0</v>
      </c>
      <c r="BM5" s="15">
        <v>0</v>
      </c>
      <c r="BN5" s="15">
        <v>0</v>
      </c>
      <c r="BO5" s="15">
        <v>0</v>
      </c>
      <c r="BP5" s="15">
        <v>0</v>
      </c>
      <c r="BQ5" s="15">
        <v>0</v>
      </c>
      <c r="BR5" s="15">
        <v>0</v>
      </c>
      <c r="BS5" s="15">
        <v>30000</v>
      </c>
      <c r="BT5" s="15">
        <v>30000</v>
      </c>
      <c r="BU5" s="15">
        <v>0</v>
      </c>
      <c r="BV5" s="15">
        <v>0</v>
      </c>
      <c r="BW5" s="15">
        <v>0</v>
      </c>
      <c r="BX5" s="15">
        <v>0</v>
      </c>
      <c r="BY5" s="15">
        <v>0</v>
      </c>
      <c r="BZ5" s="15">
        <v>0</v>
      </c>
      <c r="CA5" s="15">
        <v>0</v>
      </c>
      <c r="CB5" s="15">
        <v>0</v>
      </c>
      <c r="CC5" s="15">
        <v>7200</v>
      </c>
      <c r="CD5" s="15">
        <v>0</v>
      </c>
      <c r="CE5" s="15">
        <v>0</v>
      </c>
      <c r="CF5" s="15">
        <v>19000</v>
      </c>
      <c r="CG5" s="15">
        <v>0</v>
      </c>
      <c r="CH5" s="15">
        <v>0</v>
      </c>
      <c r="CI5" s="15">
        <v>0</v>
      </c>
      <c r="CJ5" s="15">
        <v>0</v>
      </c>
      <c r="CK5" s="15">
        <v>0</v>
      </c>
      <c r="CL5" s="15">
        <v>32000</v>
      </c>
      <c r="CM5" s="15">
        <v>31000</v>
      </c>
      <c r="CN5" s="15">
        <v>0</v>
      </c>
      <c r="CO5" s="15">
        <v>0</v>
      </c>
      <c r="CP5" s="15">
        <v>0</v>
      </c>
      <c r="CQ5" s="15">
        <v>0</v>
      </c>
      <c r="CR5" s="15">
        <v>0</v>
      </c>
      <c r="CS5" s="15">
        <v>7200</v>
      </c>
      <c r="CT5" s="15">
        <v>0</v>
      </c>
      <c r="CU5" s="15">
        <v>7200</v>
      </c>
      <c r="CV5" s="15">
        <v>0</v>
      </c>
      <c r="CW5" s="15">
        <v>0</v>
      </c>
    </row>
    <row r="6" spans="1:101" x14ac:dyDescent="0.75">
      <c r="A6" s="22">
        <v>4</v>
      </c>
      <c r="B6" s="15">
        <v>0</v>
      </c>
      <c r="C6" s="15">
        <v>0</v>
      </c>
      <c r="D6" s="15">
        <v>0</v>
      </c>
      <c r="E6" s="15">
        <v>15000</v>
      </c>
      <c r="F6" s="15">
        <v>0</v>
      </c>
      <c r="G6" s="15">
        <v>26000</v>
      </c>
      <c r="H6" s="15">
        <v>67000</v>
      </c>
      <c r="I6" s="15">
        <v>0</v>
      </c>
      <c r="J6" s="15">
        <v>0</v>
      </c>
      <c r="K6" s="15">
        <v>0</v>
      </c>
      <c r="L6" s="15">
        <v>0</v>
      </c>
      <c r="M6" s="15">
        <v>0</v>
      </c>
      <c r="N6" s="15">
        <v>15000</v>
      </c>
      <c r="O6" s="15">
        <v>0</v>
      </c>
      <c r="P6" s="15">
        <v>0</v>
      </c>
      <c r="Q6" s="15">
        <v>0</v>
      </c>
      <c r="R6" s="15">
        <v>0</v>
      </c>
      <c r="S6" s="15">
        <v>0</v>
      </c>
      <c r="T6" s="15">
        <v>0</v>
      </c>
      <c r="U6" s="15">
        <v>7200</v>
      </c>
      <c r="V6" s="15">
        <v>0</v>
      </c>
      <c r="W6" s="15">
        <v>61000</v>
      </c>
      <c r="X6" s="15">
        <v>0</v>
      </c>
      <c r="Y6" s="15">
        <v>19000</v>
      </c>
      <c r="Z6" s="15">
        <v>0</v>
      </c>
      <c r="AA6" s="15">
        <v>19000</v>
      </c>
      <c r="AB6" s="15">
        <v>0</v>
      </c>
      <c r="AC6" s="15">
        <v>0</v>
      </c>
      <c r="AD6" s="15">
        <v>0</v>
      </c>
      <c r="AE6" s="15">
        <v>0</v>
      </c>
      <c r="AF6" s="15">
        <v>15000</v>
      </c>
      <c r="AG6" s="15">
        <v>0</v>
      </c>
      <c r="AH6" s="15">
        <v>15000</v>
      </c>
      <c r="AI6" s="15">
        <v>0</v>
      </c>
      <c r="AJ6" s="15">
        <v>0</v>
      </c>
      <c r="AK6" s="15">
        <v>15000</v>
      </c>
      <c r="AL6" s="15">
        <v>0</v>
      </c>
      <c r="AM6" s="15">
        <v>30000</v>
      </c>
      <c r="AN6" s="15">
        <v>7200</v>
      </c>
      <c r="AO6" s="15">
        <v>0</v>
      </c>
      <c r="AP6" s="15">
        <v>0</v>
      </c>
      <c r="AQ6" s="15">
        <v>0</v>
      </c>
      <c r="AR6" s="15">
        <v>0</v>
      </c>
      <c r="AS6" s="15">
        <v>0</v>
      </c>
      <c r="AT6" s="15">
        <v>0</v>
      </c>
      <c r="AU6" s="15">
        <v>0</v>
      </c>
      <c r="AV6" s="15">
        <v>20000</v>
      </c>
      <c r="AW6" s="15">
        <v>0</v>
      </c>
      <c r="AX6" s="15">
        <v>0</v>
      </c>
      <c r="AY6" s="15">
        <v>30000</v>
      </c>
      <c r="AZ6" s="15">
        <v>0</v>
      </c>
      <c r="BA6" s="15">
        <v>0</v>
      </c>
      <c r="BB6" s="15">
        <v>7200</v>
      </c>
      <c r="BC6" s="15">
        <v>15000</v>
      </c>
      <c r="BD6" s="15">
        <v>0</v>
      </c>
      <c r="BE6" s="15">
        <v>0</v>
      </c>
      <c r="BF6" s="15">
        <v>0</v>
      </c>
      <c r="BG6" s="15">
        <v>0</v>
      </c>
      <c r="BH6" s="15">
        <v>0</v>
      </c>
      <c r="BI6" s="15">
        <v>0</v>
      </c>
      <c r="BJ6" s="15">
        <v>0</v>
      </c>
      <c r="BK6" s="15">
        <v>0</v>
      </c>
      <c r="BL6" s="15">
        <v>0</v>
      </c>
      <c r="BM6" s="15">
        <v>0</v>
      </c>
      <c r="BN6" s="15">
        <v>0</v>
      </c>
      <c r="BO6" s="15">
        <v>0</v>
      </c>
      <c r="BP6" s="15">
        <v>0</v>
      </c>
      <c r="BQ6" s="15">
        <v>0</v>
      </c>
      <c r="BR6" s="15">
        <v>0</v>
      </c>
      <c r="BS6" s="15">
        <v>0</v>
      </c>
      <c r="BT6" s="15">
        <v>0</v>
      </c>
      <c r="BU6" s="15">
        <v>15000</v>
      </c>
      <c r="BV6" s="15">
        <v>0</v>
      </c>
      <c r="BW6" s="15">
        <v>0</v>
      </c>
      <c r="BX6" s="15">
        <v>0</v>
      </c>
      <c r="BY6" s="15">
        <v>7200</v>
      </c>
      <c r="BZ6" s="15">
        <v>0</v>
      </c>
      <c r="CA6" s="15">
        <v>0</v>
      </c>
      <c r="CB6" s="15">
        <v>0</v>
      </c>
      <c r="CC6" s="15">
        <v>7200</v>
      </c>
      <c r="CD6" s="15">
        <v>0</v>
      </c>
      <c r="CE6" s="15">
        <v>0</v>
      </c>
      <c r="CF6" s="15">
        <v>19000</v>
      </c>
      <c r="CG6" s="15">
        <v>0</v>
      </c>
      <c r="CH6" s="15">
        <v>0</v>
      </c>
      <c r="CI6" s="15">
        <v>30000</v>
      </c>
      <c r="CJ6" s="15">
        <v>30000</v>
      </c>
      <c r="CK6" s="15">
        <v>0</v>
      </c>
      <c r="CL6" s="15">
        <v>33000</v>
      </c>
      <c r="CM6" s="15">
        <v>32000</v>
      </c>
      <c r="CN6" s="15">
        <v>7200</v>
      </c>
      <c r="CO6" s="15">
        <v>0</v>
      </c>
      <c r="CP6" s="15">
        <v>0</v>
      </c>
      <c r="CQ6" s="15">
        <v>0</v>
      </c>
      <c r="CR6" s="15">
        <v>0</v>
      </c>
      <c r="CS6" s="15">
        <v>7200</v>
      </c>
      <c r="CT6" s="15">
        <v>0</v>
      </c>
      <c r="CU6" s="15">
        <v>7200</v>
      </c>
      <c r="CV6" s="15">
        <v>0</v>
      </c>
      <c r="CW6" s="15">
        <v>0</v>
      </c>
    </row>
    <row r="7" spans="1:101" x14ac:dyDescent="0.75">
      <c r="A7" s="22">
        <v>5</v>
      </c>
      <c r="B7" s="15">
        <v>0</v>
      </c>
      <c r="C7" s="15">
        <v>0</v>
      </c>
      <c r="D7" s="15">
        <v>0</v>
      </c>
      <c r="E7" s="15">
        <v>15000</v>
      </c>
      <c r="F7" s="15">
        <v>0</v>
      </c>
      <c r="G7" s="15">
        <v>27000</v>
      </c>
      <c r="H7" s="15">
        <v>68000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15000</v>
      </c>
      <c r="O7" s="15">
        <v>0</v>
      </c>
      <c r="P7" s="15">
        <v>0</v>
      </c>
      <c r="Q7" s="15">
        <v>30000</v>
      </c>
      <c r="R7" s="15">
        <v>0</v>
      </c>
      <c r="S7" s="15">
        <v>0</v>
      </c>
      <c r="T7" s="15">
        <v>0</v>
      </c>
      <c r="U7" s="15">
        <v>7200</v>
      </c>
      <c r="V7" s="15">
        <v>0</v>
      </c>
      <c r="W7" s="15">
        <v>62000</v>
      </c>
      <c r="X7" s="15">
        <v>0</v>
      </c>
      <c r="Y7" s="15">
        <v>19000</v>
      </c>
      <c r="Z7" s="15">
        <v>0</v>
      </c>
      <c r="AA7" s="15">
        <v>19000</v>
      </c>
      <c r="AB7" s="15">
        <v>0</v>
      </c>
      <c r="AC7" s="15">
        <v>7200</v>
      </c>
      <c r="AD7" s="15">
        <v>30000</v>
      </c>
      <c r="AE7" s="15">
        <v>0</v>
      </c>
      <c r="AF7" s="15">
        <v>15000</v>
      </c>
      <c r="AG7" s="15">
        <v>0</v>
      </c>
      <c r="AH7" s="15">
        <v>15000</v>
      </c>
      <c r="AI7" s="15">
        <v>0</v>
      </c>
      <c r="AJ7" s="15">
        <v>0</v>
      </c>
      <c r="AK7" s="15">
        <v>15000</v>
      </c>
      <c r="AL7" s="15">
        <v>0</v>
      </c>
      <c r="AM7" s="15">
        <v>31000</v>
      </c>
      <c r="AN7" s="15">
        <v>7200</v>
      </c>
      <c r="AO7" s="15">
        <v>0</v>
      </c>
      <c r="AP7" s="15">
        <v>0</v>
      </c>
      <c r="AQ7" s="15">
        <v>0</v>
      </c>
      <c r="AR7" s="15">
        <v>0</v>
      </c>
      <c r="AS7" s="15">
        <v>0</v>
      </c>
      <c r="AT7" s="15">
        <v>0</v>
      </c>
      <c r="AU7" s="15">
        <v>0</v>
      </c>
      <c r="AV7" s="15">
        <v>20000</v>
      </c>
      <c r="AW7" s="15">
        <v>0</v>
      </c>
      <c r="AX7" s="15">
        <v>0</v>
      </c>
      <c r="AY7" s="15">
        <v>0</v>
      </c>
      <c r="AZ7" s="15">
        <v>0</v>
      </c>
      <c r="BA7" s="15">
        <v>0</v>
      </c>
      <c r="BB7" s="15">
        <v>7200</v>
      </c>
      <c r="BC7" s="15">
        <v>15000</v>
      </c>
      <c r="BD7" s="15">
        <v>60000</v>
      </c>
      <c r="BE7" s="15">
        <v>0</v>
      </c>
      <c r="BF7" s="15">
        <v>0</v>
      </c>
      <c r="BG7" s="15">
        <v>0</v>
      </c>
      <c r="BH7" s="15">
        <v>0</v>
      </c>
      <c r="BI7" s="15">
        <v>0</v>
      </c>
      <c r="BJ7" s="15">
        <v>0</v>
      </c>
      <c r="BK7" s="15">
        <v>0</v>
      </c>
      <c r="BL7" s="15">
        <v>0</v>
      </c>
      <c r="BM7" s="15">
        <v>0</v>
      </c>
      <c r="BN7" s="15">
        <v>0</v>
      </c>
      <c r="BO7" s="15">
        <v>0</v>
      </c>
      <c r="BP7" s="15">
        <v>0</v>
      </c>
      <c r="BQ7" s="15">
        <v>0</v>
      </c>
      <c r="BR7" s="15">
        <v>0</v>
      </c>
      <c r="BS7" s="15">
        <v>30000</v>
      </c>
      <c r="BT7" s="15">
        <v>30000</v>
      </c>
      <c r="BU7" s="15">
        <v>15000</v>
      </c>
      <c r="BV7" s="15">
        <v>0</v>
      </c>
      <c r="BW7" s="15">
        <v>19000</v>
      </c>
      <c r="BX7" s="15">
        <v>0</v>
      </c>
      <c r="BY7" s="15">
        <v>7200</v>
      </c>
      <c r="BZ7" s="15">
        <v>0</v>
      </c>
      <c r="CA7" s="15">
        <v>0</v>
      </c>
      <c r="CB7" s="15">
        <v>0</v>
      </c>
      <c r="CC7" s="15">
        <v>7200</v>
      </c>
      <c r="CD7" s="15">
        <v>0</v>
      </c>
      <c r="CE7" s="15">
        <v>0</v>
      </c>
      <c r="CF7" s="15">
        <v>25000</v>
      </c>
      <c r="CG7" s="15">
        <v>0</v>
      </c>
      <c r="CH7" s="15">
        <v>0</v>
      </c>
      <c r="CI7" s="15">
        <v>0</v>
      </c>
      <c r="CJ7" s="15">
        <v>0</v>
      </c>
      <c r="CK7" s="15">
        <v>0</v>
      </c>
      <c r="CL7" s="15">
        <v>34000</v>
      </c>
      <c r="CM7" s="15">
        <v>33000</v>
      </c>
      <c r="CN7" s="15">
        <v>7200</v>
      </c>
      <c r="CO7" s="15">
        <v>0</v>
      </c>
      <c r="CP7" s="15">
        <v>0</v>
      </c>
      <c r="CQ7" s="15">
        <v>0</v>
      </c>
      <c r="CR7" s="15">
        <v>0</v>
      </c>
      <c r="CS7" s="15">
        <v>7200</v>
      </c>
      <c r="CT7" s="15">
        <v>0</v>
      </c>
      <c r="CU7" s="15">
        <v>7200</v>
      </c>
      <c r="CV7" s="15">
        <v>0</v>
      </c>
      <c r="CW7" s="15">
        <v>0</v>
      </c>
    </row>
    <row r="8" spans="1:101" x14ac:dyDescent="0.75">
      <c r="A8" s="22">
        <v>6</v>
      </c>
      <c r="B8" s="15">
        <v>0</v>
      </c>
      <c r="C8" s="15">
        <v>0</v>
      </c>
      <c r="D8" s="15">
        <v>0</v>
      </c>
      <c r="E8" s="15">
        <v>15000</v>
      </c>
      <c r="F8" s="15">
        <v>0</v>
      </c>
      <c r="G8" s="15">
        <v>28000</v>
      </c>
      <c r="H8" s="15">
        <v>69000</v>
      </c>
      <c r="I8" s="15">
        <v>0</v>
      </c>
      <c r="J8" s="15">
        <v>0</v>
      </c>
      <c r="K8" s="15">
        <v>19000</v>
      </c>
      <c r="L8" s="15">
        <v>0</v>
      </c>
      <c r="M8" s="15">
        <v>0</v>
      </c>
      <c r="N8" s="15">
        <v>15000</v>
      </c>
      <c r="O8" s="15">
        <v>0</v>
      </c>
      <c r="P8" s="15">
        <v>0</v>
      </c>
      <c r="Q8" s="15">
        <v>0</v>
      </c>
      <c r="R8" s="15">
        <v>0</v>
      </c>
      <c r="S8" s="15">
        <v>0</v>
      </c>
      <c r="T8" s="15">
        <v>0</v>
      </c>
      <c r="U8" s="15">
        <v>7200</v>
      </c>
      <c r="V8" s="15">
        <v>0</v>
      </c>
      <c r="W8" s="15">
        <v>63000</v>
      </c>
      <c r="X8" s="15">
        <v>0</v>
      </c>
      <c r="Y8" s="15">
        <v>19000</v>
      </c>
      <c r="Z8" s="15">
        <v>0</v>
      </c>
      <c r="AA8" s="15">
        <v>19000</v>
      </c>
      <c r="AB8" s="15">
        <v>0</v>
      </c>
      <c r="AC8" s="15">
        <v>7200</v>
      </c>
      <c r="AD8" s="15">
        <v>0</v>
      </c>
      <c r="AE8" s="15">
        <v>0</v>
      </c>
      <c r="AF8" s="15">
        <v>15000</v>
      </c>
      <c r="AG8" s="15">
        <v>0</v>
      </c>
      <c r="AH8" s="15">
        <v>15000</v>
      </c>
      <c r="AI8" s="15">
        <v>0</v>
      </c>
      <c r="AJ8" s="15">
        <v>0</v>
      </c>
      <c r="AK8" s="15">
        <v>15000</v>
      </c>
      <c r="AL8" s="15">
        <v>0</v>
      </c>
      <c r="AM8" s="15">
        <v>32000</v>
      </c>
      <c r="AN8" s="15">
        <v>7200</v>
      </c>
      <c r="AO8" s="15">
        <v>0</v>
      </c>
      <c r="AP8" s="15">
        <v>0</v>
      </c>
      <c r="AQ8" s="15">
        <v>0</v>
      </c>
      <c r="AR8" s="15">
        <v>0</v>
      </c>
      <c r="AS8" s="15">
        <v>0</v>
      </c>
      <c r="AT8" s="15">
        <v>0</v>
      </c>
      <c r="AU8" s="15">
        <v>0</v>
      </c>
      <c r="AV8" s="15">
        <v>20000</v>
      </c>
      <c r="AW8" s="15">
        <v>0</v>
      </c>
      <c r="AX8" s="15">
        <v>0</v>
      </c>
      <c r="AY8" s="15">
        <v>30000</v>
      </c>
      <c r="AZ8" s="15">
        <v>0</v>
      </c>
      <c r="BA8" s="15">
        <v>0</v>
      </c>
      <c r="BB8" s="15">
        <v>7200</v>
      </c>
      <c r="BC8" s="15">
        <v>15000</v>
      </c>
      <c r="BD8" s="15">
        <v>61000</v>
      </c>
      <c r="BE8" s="15">
        <v>0</v>
      </c>
      <c r="BF8" s="15">
        <v>0</v>
      </c>
      <c r="BG8" s="15">
        <v>0</v>
      </c>
      <c r="BH8" s="15">
        <v>60000</v>
      </c>
      <c r="BI8" s="15">
        <v>0</v>
      </c>
      <c r="BJ8" s="15">
        <v>0</v>
      </c>
      <c r="BK8" s="15">
        <v>0</v>
      </c>
      <c r="BL8" s="15">
        <v>0</v>
      </c>
      <c r="BM8" s="15">
        <v>0</v>
      </c>
      <c r="BN8" s="15">
        <v>0</v>
      </c>
      <c r="BO8" s="15">
        <v>0</v>
      </c>
      <c r="BP8" s="15">
        <v>25000</v>
      </c>
      <c r="BQ8" s="15">
        <v>0</v>
      </c>
      <c r="BR8" s="15">
        <v>7200</v>
      </c>
      <c r="BS8" s="15">
        <v>0</v>
      </c>
      <c r="BT8" s="15">
        <v>0</v>
      </c>
      <c r="BU8" s="15">
        <v>15000</v>
      </c>
      <c r="BV8" s="15">
        <v>0</v>
      </c>
      <c r="BW8" s="15">
        <v>19000</v>
      </c>
      <c r="BX8" s="15">
        <v>0</v>
      </c>
      <c r="BY8" s="15">
        <v>7200</v>
      </c>
      <c r="BZ8" s="15">
        <v>0</v>
      </c>
      <c r="CA8" s="15">
        <v>0</v>
      </c>
      <c r="CB8" s="15">
        <v>0</v>
      </c>
      <c r="CC8" s="15">
        <v>7200</v>
      </c>
      <c r="CD8" s="15">
        <v>0</v>
      </c>
      <c r="CE8" s="15">
        <v>0</v>
      </c>
      <c r="CF8" s="15">
        <v>25000</v>
      </c>
      <c r="CG8" s="15">
        <v>0</v>
      </c>
      <c r="CH8" s="15">
        <v>0</v>
      </c>
      <c r="CI8" s="15">
        <v>30000</v>
      </c>
      <c r="CJ8" s="15">
        <v>30000</v>
      </c>
      <c r="CK8" s="15">
        <v>0</v>
      </c>
      <c r="CL8" s="15">
        <v>35000</v>
      </c>
      <c r="CM8" s="15">
        <v>34000</v>
      </c>
      <c r="CN8" s="15">
        <v>7200</v>
      </c>
      <c r="CO8" s="15">
        <v>0</v>
      </c>
      <c r="CP8" s="15">
        <v>0</v>
      </c>
      <c r="CQ8" s="15">
        <v>0</v>
      </c>
      <c r="CR8" s="15">
        <v>0</v>
      </c>
      <c r="CS8" s="15">
        <v>7200</v>
      </c>
      <c r="CT8" s="15">
        <v>0</v>
      </c>
      <c r="CU8" s="15">
        <v>7200</v>
      </c>
      <c r="CV8" s="15">
        <v>0</v>
      </c>
      <c r="CW8" s="15">
        <v>0</v>
      </c>
    </row>
    <row r="9" spans="1:101" x14ac:dyDescent="0.75">
      <c r="A9" s="22">
        <v>7</v>
      </c>
      <c r="B9" s="15">
        <v>0</v>
      </c>
      <c r="C9" s="15">
        <v>0</v>
      </c>
      <c r="D9" s="15">
        <v>0</v>
      </c>
      <c r="E9" s="15">
        <v>15000</v>
      </c>
      <c r="F9" s="15">
        <v>0</v>
      </c>
      <c r="G9" s="15">
        <v>29000</v>
      </c>
      <c r="H9" s="15">
        <v>70000</v>
      </c>
      <c r="I9" s="15">
        <v>0</v>
      </c>
      <c r="J9" s="15">
        <v>0</v>
      </c>
      <c r="K9" s="15">
        <v>19000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30000</v>
      </c>
      <c r="R9" s="15">
        <v>0</v>
      </c>
      <c r="S9" s="15">
        <v>0</v>
      </c>
      <c r="T9" s="15">
        <v>0</v>
      </c>
      <c r="U9" s="15">
        <v>7200</v>
      </c>
      <c r="V9" s="15">
        <v>0</v>
      </c>
      <c r="W9" s="15">
        <v>64000</v>
      </c>
      <c r="X9" s="15">
        <v>15000</v>
      </c>
      <c r="Y9" s="15">
        <v>19000</v>
      </c>
      <c r="Z9" s="15">
        <v>0</v>
      </c>
      <c r="AA9" s="15">
        <v>19000</v>
      </c>
      <c r="AB9" s="15">
        <v>0</v>
      </c>
      <c r="AC9" s="15">
        <v>7200</v>
      </c>
      <c r="AD9" s="15">
        <v>30000</v>
      </c>
      <c r="AE9" s="15">
        <v>15000</v>
      </c>
      <c r="AF9" s="15">
        <v>15000</v>
      </c>
      <c r="AG9" s="15">
        <v>15000</v>
      </c>
      <c r="AH9" s="15">
        <v>15000</v>
      </c>
      <c r="AI9" s="15">
        <v>0</v>
      </c>
      <c r="AJ9" s="15">
        <v>15000</v>
      </c>
      <c r="AK9" s="15">
        <v>15000</v>
      </c>
      <c r="AL9" s="15">
        <v>0</v>
      </c>
      <c r="AM9" s="15">
        <v>33000</v>
      </c>
      <c r="AN9" s="15">
        <v>7200</v>
      </c>
      <c r="AO9" s="15">
        <v>0</v>
      </c>
      <c r="AP9" s="15">
        <v>0</v>
      </c>
      <c r="AQ9" s="15">
        <v>0</v>
      </c>
      <c r="AR9" s="15">
        <v>0</v>
      </c>
      <c r="AS9" s="15">
        <v>0</v>
      </c>
      <c r="AT9" s="15">
        <v>0</v>
      </c>
      <c r="AU9" s="15">
        <v>0</v>
      </c>
      <c r="AV9" s="15">
        <v>20000</v>
      </c>
      <c r="AW9" s="15">
        <v>0</v>
      </c>
      <c r="AX9" s="15">
        <v>0</v>
      </c>
      <c r="AY9" s="15">
        <v>0</v>
      </c>
      <c r="AZ9" s="15">
        <v>0</v>
      </c>
      <c r="BA9" s="15">
        <v>0</v>
      </c>
      <c r="BB9" s="15">
        <v>7200</v>
      </c>
      <c r="BC9" s="15">
        <v>15000</v>
      </c>
      <c r="BD9" s="15">
        <v>62000</v>
      </c>
      <c r="BE9" s="15">
        <v>0</v>
      </c>
      <c r="BF9" s="15">
        <v>0</v>
      </c>
      <c r="BG9" s="15">
        <v>0</v>
      </c>
      <c r="BH9" s="15">
        <v>61000</v>
      </c>
      <c r="BI9" s="15">
        <v>0</v>
      </c>
      <c r="BJ9" s="15">
        <v>0</v>
      </c>
      <c r="BK9" s="15">
        <v>0</v>
      </c>
      <c r="BL9" s="15">
        <v>0</v>
      </c>
      <c r="BM9" s="15">
        <v>0</v>
      </c>
      <c r="BN9" s="15">
        <v>0</v>
      </c>
      <c r="BO9" s="15">
        <v>0</v>
      </c>
      <c r="BP9" s="15">
        <v>26000</v>
      </c>
      <c r="BQ9" s="15">
        <v>0</v>
      </c>
      <c r="BR9" s="15">
        <v>7200</v>
      </c>
      <c r="BS9" s="15">
        <v>30000</v>
      </c>
      <c r="BT9" s="15">
        <v>30000</v>
      </c>
      <c r="BU9" s="15">
        <v>15000</v>
      </c>
      <c r="BV9" s="15">
        <v>0</v>
      </c>
      <c r="BW9" s="15">
        <v>19000</v>
      </c>
      <c r="BX9" s="15">
        <v>0</v>
      </c>
      <c r="BY9" s="15">
        <v>7200</v>
      </c>
      <c r="BZ9" s="15">
        <v>0</v>
      </c>
      <c r="CA9" s="15">
        <v>0</v>
      </c>
      <c r="CB9" s="15">
        <v>0</v>
      </c>
      <c r="CC9" s="15">
        <v>7200</v>
      </c>
      <c r="CD9" s="15">
        <v>30000</v>
      </c>
      <c r="CE9" s="15">
        <v>0</v>
      </c>
      <c r="CF9" s="15">
        <v>25000</v>
      </c>
      <c r="CG9" s="15">
        <v>0</v>
      </c>
      <c r="CH9" s="15">
        <v>0</v>
      </c>
      <c r="CI9" s="15">
        <v>0</v>
      </c>
      <c r="CJ9" s="15">
        <v>0</v>
      </c>
      <c r="CK9" s="15">
        <v>0</v>
      </c>
      <c r="CL9" s="15">
        <v>36000</v>
      </c>
      <c r="CM9" s="15">
        <v>35000</v>
      </c>
      <c r="CN9" s="15">
        <v>7200</v>
      </c>
      <c r="CO9" s="15">
        <v>0</v>
      </c>
      <c r="CP9" s="15">
        <v>30000</v>
      </c>
      <c r="CQ9" s="15">
        <v>0</v>
      </c>
      <c r="CR9" s="15">
        <v>0</v>
      </c>
      <c r="CS9" s="15">
        <v>7200</v>
      </c>
      <c r="CT9" s="15">
        <v>0</v>
      </c>
      <c r="CU9" s="15">
        <v>7200</v>
      </c>
      <c r="CV9" s="15">
        <v>0</v>
      </c>
      <c r="CW9" s="15">
        <v>0</v>
      </c>
    </row>
    <row r="10" spans="1:101" x14ac:dyDescent="0.75">
      <c r="A10" s="22">
        <v>8</v>
      </c>
      <c r="B10" s="15">
        <v>19000</v>
      </c>
      <c r="C10" s="15">
        <v>0</v>
      </c>
      <c r="D10" s="15">
        <v>0</v>
      </c>
      <c r="E10" s="15">
        <v>15000</v>
      </c>
      <c r="F10" s="15">
        <v>0</v>
      </c>
      <c r="G10" s="15">
        <v>30000</v>
      </c>
      <c r="H10" s="15">
        <v>71000</v>
      </c>
      <c r="I10" s="15">
        <v>0</v>
      </c>
      <c r="J10" s="15">
        <v>0</v>
      </c>
      <c r="K10" s="15">
        <v>19000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7200</v>
      </c>
      <c r="V10" s="15">
        <v>0</v>
      </c>
      <c r="W10" s="15">
        <v>65000</v>
      </c>
      <c r="X10" s="15">
        <v>15000</v>
      </c>
      <c r="Y10" s="15">
        <v>19000</v>
      </c>
      <c r="Z10" s="15">
        <v>0</v>
      </c>
      <c r="AA10" s="15">
        <v>19000</v>
      </c>
      <c r="AB10" s="15">
        <v>0</v>
      </c>
      <c r="AC10" s="15">
        <v>7200</v>
      </c>
      <c r="AD10" s="15">
        <v>0</v>
      </c>
      <c r="AE10" s="15">
        <v>15000</v>
      </c>
      <c r="AF10" s="15">
        <v>15000</v>
      </c>
      <c r="AG10" s="15">
        <v>15000</v>
      </c>
      <c r="AH10" s="15">
        <v>15000</v>
      </c>
      <c r="AI10" s="15">
        <v>0</v>
      </c>
      <c r="AJ10" s="15">
        <v>15000</v>
      </c>
      <c r="AK10" s="15">
        <v>15000</v>
      </c>
      <c r="AL10" s="15">
        <v>0</v>
      </c>
      <c r="AM10" s="15">
        <v>34000</v>
      </c>
      <c r="AN10" s="15">
        <v>7200</v>
      </c>
      <c r="AO10" s="15">
        <v>0</v>
      </c>
      <c r="AP10" s="15">
        <v>0</v>
      </c>
      <c r="AQ10" s="15">
        <v>0</v>
      </c>
      <c r="AR10" s="15">
        <v>0</v>
      </c>
      <c r="AS10" s="15">
        <v>5000</v>
      </c>
      <c r="AT10" s="15">
        <v>0</v>
      </c>
      <c r="AU10" s="15">
        <v>0</v>
      </c>
      <c r="AV10" s="15">
        <v>0</v>
      </c>
      <c r="AW10" s="15">
        <v>25000</v>
      </c>
      <c r="AX10" s="15">
        <v>0</v>
      </c>
      <c r="AY10" s="15">
        <v>30000</v>
      </c>
      <c r="AZ10" s="15">
        <v>0</v>
      </c>
      <c r="BA10" s="15">
        <v>0</v>
      </c>
      <c r="BB10" s="15">
        <v>7200</v>
      </c>
      <c r="BC10" s="15">
        <v>15000</v>
      </c>
      <c r="BD10" s="15">
        <v>63000</v>
      </c>
      <c r="BE10" s="15">
        <v>25000</v>
      </c>
      <c r="BF10" s="15">
        <v>0</v>
      </c>
      <c r="BG10" s="15">
        <v>0</v>
      </c>
      <c r="BH10" s="15">
        <v>62000</v>
      </c>
      <c r="BI10" s="15">
        <v>0</v>
      </c>
      <c r="BJ10" s="15">
        <v>0</v>
      </c>
      <c r="BK10" s="15">
        <v>0</v>
      </c>
      <c r="BL10" s="15">
        <v>60000</v>
      </c>
      <c r="BM10" s="15">
        <v>25000</v>
      </c>
      <c r="BN10" s="15">
        <v>0</v>
      </c>
      <c r="BO10" s="15">
        <v>0</v>
      </c>
      <c r="BP10" s="15">
        <v>27000</v>
      </c>
      <c r="BQ10" s="15">
        <v>0</v>
      </c>
      <c r="BR10" s="15">
        <v>7200</v>
      </c>
      <c r="BS10" s="15">
        <v>0</v>
      </c>
      <c r="BT10" s="15">
        <v>0</v>
      </c>
      <c r="BU10" s="15">
        <v>15000</v>
      </c>
      <c r="BV10" s="15">
        <v>0</v>
      </c>
      <c r="BW10" s="15">
        <v>25000</v>
      </c>
      <c r="BX10" s="15">
        <v>7200</v>
      </c>
      <c r="BY10" s="15">
        <v>7200</v>
      </c>
      <c r="BZ10" s="15">
        <v>0</v>
      </c>
      <c r="CA10" s="15">
        <v>0</v>
      </c>
      <c r="CB10" s="15">
        <v>0</v>
      </c>
      <c r="CC10" s="15">
        <v>7200</v>
      </c>
      <c r="CD10" s="15">
        <v>0</v>
      </c>
      <c r="CE10" s="15">
        <v>0</v>
      </c>
      <c r="CF10" s="15">
        <v>0</v>
      </c>
      <c r="CG10" s="15">
        <v>0</v>
      </c>
      <c r="CH10" s="15">
        <v>0</v>
      </c>
      <c r="CI10" s="15">
        <v>30000</v>
      </c>
      <c r="CJ10" s="15">
        <v>30000</v>
      </c>
      <c r="CK10" s="15">
        <v>0</v>
      </c>
      <c r="CL10" s="15">
        <v>37000</v>
      </c>
      <c r="CM10" s="15">
        <v>36000</v>
      </c>
      <c r="CN10" s="15">
        <v>7200</v>
      </c>
      <c r="CO10" s="15">
        <v>0</v>
      </c>
      <c r="CP10" s="15">
        <v>0</v>
      </c>
      <c r="CQ10" s="15">
        <v>0</v>
      </c>
      <c r="CR10" s="15">
        <v>0</v>
      </c>
      <c r="CS10" s="15">
        <v>7200</v>
      </c>
      <c r="CT10" s="15">
        <v>0</v>
      </c>
      <c r="CU10" s="15">
        <v>7200</v>
      </c>
      <c r="CV10" s="15">
        <v>0</v>
      </c>
      <c r="CW10" s="15">
        <v>0</v>
      </c>
    </row>
    <row r="11" spans="1:101" x14ac:dyDescent="0.75">
      <c r="A11" s="22">
        <v>9</v>
      </c>
      <c r="B11" s="15">
        <v>19000</v>
      </c>
      <c r="C11" s="15">
        <v>0</v>
      </c>
      <c r="D11" s="15">
        <v>0</v>
      </c>
      <c r="E11" s="15">
        <v>15000</v>
      </c>
      <c r="F11" s="15">
        <v>0</v>
      </c>
      <c r="G11" s="15">
        <v>31000</v>
      </c>
      <c r="H11" s="15">
        <v>72000</v>
      </c>
      <c r="I11" s="15">
        <v>0</v>
      </c>
      <c r="J11" s="15">
        <v>0</v>
      </c>
      <c r="K11" s="15">
        <v>19000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30000</v>
      </c>
      <c r="R11" s="15">
        <v>0</v>
      </c>
      <c r="S11" s="15">
        <v>0</v>
      </c>
      <c r="T11" s="15">
        <v>0</v>
      </c>
      <c r="U11" s="15">
        <v>7200</v>
      </c>
      <c r="V11" s="15">
        <v>5000</v>
      </c>
      <c r="W11" s="15">
        <v>66000</v>
      </c>
      <c r="X11" s="15">
        <v>15000</v>
      </c>
      <c r="Y11" s="15">
        <v>19000</v>
      </c>
      <c r="Z11" s="15">
        <v>0</v>
      </c>
      <c r="AA11" s="15">
        <v>19000</v>
      </c>
      <c r="AB11" s="15">
        <v>0</v>
      </c>
      <c r="AC11" s="15">
        <v>7200</v>
      </c>
      <c r="AD11" s="15">
        <v>30000</v>
      </c>
      <c r="AE11" s="15">
        <v>15000</v>
      </c>
      <c r="AF11" s="15">
        <v>15000</v>
      </c>
      <c r="AG11" s="15">
        <v>15000</v>
      </c>
      <c r="AH11" s="15">
        <v>15000</v>
      </c>
      <c r="AI11" s="15">
        <v>0</v>
      </c>
      <c r="AJ11" s="15">
        <v>15000</v>
      </c>
      <c r="AK11" s="15">
        <v>15000</v>
      </c>
      <c r="AL11" s="15">
        <v>0</v>
      </c>
      <c r="AM11" s="15">
        <v>35000</v>
      </c>
      <c r="AN11" s="15">
        <v>7200</v>
      </c>
      <c r="AO11" s="15">
        <v>0</v>
      </c>
      <c r="AP11" s="15">
        <v>0</v>
      </c>
      <c r="AQ11" s="15">
        <v>0</v>
      </c>
      <c r="AR11" s="15">
        <v>0</v>
      </c>
      <c r="AS11" s="15">
        <v>5000</v>
      </c>
      <c r="AT11" s="15">
        <v>0</v>
      </c>
      <c r="AU11" s="15">
        <v>0</v>
      </c>
      <c r="AV11" s="15">
        <v>0</v>
      </c>
      <c r="AW11" s="15">
        <v>26000</v>
      </c>
      <c r="AX11" s="15">
        <v>0</v>
      </c>
      <c r="AY11" s="15">
        <v>0</v>
      </c>
      <c r="AZ11" s="15">
        <v>0</v>
      </c>
      <c r="BA11" s="15">
        <v>0</v>
      </c>
      <c r="BB11" s="15">
        <v>7200</v>
      </c>
      <c r="BC11" s="15">
        <v>15000</v>
      </c>
      <c r="BD11" s="15">
        <v>64000</v>
      </c>
      <c r="BE11" s="15">
        <v>26000</v>
      </c>
      <c r="BF11" s="15">
        <v>0</v>
      </c>
      <c r="BG11" s="15">
        <v>0</v>
      </c>
      <c r="BH11" s="15">
        <v>63000</v>
      </c>
      <c r="BI11" s="15">
        <v>0</v>
      </c>
      <c r="BJ11" s="15">
        <v>0</v>
      </c>
      <c r="BK11" s="15">
        <v>0</v>
      </c>
      <c r="BL11" s="15">
        <v>61000</v>
      </c>
      <c r="BM11" s="15">
        <v>26000</v>
      </c>
      <c r="BN11" s="15">
        <v>0</v>
      </c>
      <c r="BO11" s="15">
        <v>0</v>
      </c>
      <c r="BP11" s="15">
        <v>28000</v>
      </c>
      <c r="BQ11" s="15">
        <v>0</v>
      </c>
      <c r="BR11" s="15">
        <v>7200</v>
      </c>
      <c r="BS11" s="15">
        <v>30000</v>
      </c>
      <c r="BT11" s="15">
        <v>30000</v>
      </c>
      <c r="BU11" s="15">
        <v>15000</v>
      </c>
      <c r="BV11" s="15">
        <v>0</v>
      </c>
      <c r="BW11" s="15">
        <v>25000</v>
      </c>
      <c r="BX11" s="15">
        <v>7200</v>
      </c>
      <c r="BY11" s="15">
        <v>7200</v>
      </c>
      <c r="BZ11" s="15">
        <v>0</v>
      </c>
      <c r="CA11" s="15">
        <v>0</v>
      </c>
      <c r="CB11" s="15">
        <v>0</v>
      </c>
      <c r="CC11" s="15">
        <v>7200</v>
      </c>
      <c r="CD11" s="15">
        <v>30000</v>
      </c>
      <c r="CE11" s="15">
        <v>0</v>
      </c>
      <c r="CF11" s="15">
        <v>0</v>
      </c>
      <c r="CG11" s="15">
        <v>0</v>
      </c>
      <c r="CH11" s="15">
        <v>0</v>
      </c>
      <c r="CI11" s="15">
        <v>0</v>
      </c>
      <c r="CJ11" s="15">
        <v>0</v>
      </c>
      <c r="CK11" s="15">
        <v>0</v>
      </c>
      <c r="CL11" s="15">
        <v>38000</v>
      </c>
      <c r="CM11" s="15">
        <v>37000</v>
      </c>
      <c r="CN11" s="15">
        <v>7200</v>
      </c>
      <c r="CO11" s="15">
        <v>0</v>
      </c>
      <c r="CP11" s="15">
        <v>30000</v>
      </c>
      <c r="CQ11" s="15">
        <v>0</v>
      </c>
      <c r="CR11" s="15">
        <v>0</v>
      </c>
      <c r="CS11" s="15">
        <v>7200</v>
      </c>
      <c r="CT11" s="15">
        <v>0</v>
      </c>
      <c r="CU11" s="15">
        <v>7200</v>
      </c>
      <c r="CV11" s="15">
        <v>0</v>
      </c>
      <c r="CW11" s="15">
        <v>0</v>
      </c>
    </row>
    <row r="12" spans="1:101" x14ac:dyDescent="0.75">
      <c r="A12" s="22">
        <v>10</v>
      </c>
      <c r="B12" s="15">
        <v>19000</v>
      </c>
      <c r="C12" s="15">
        <v>0</v>
      </c>
      <c r="D12" s="15">
        <v>0</v>
      </c>
      <c r="E12" s="15">
        <v>15000</v>
      </c>
      <c r="F12" s="15">
        <v>0</v>
      </c>
      <c r="G12" s="15">
        <v>32000</v>
      </c>
      <c r="H12" s="15">
        <v>73000</v>
      </c>
      <c r="I12" s="15">
        <v>0</v>
      </c>
      <c r="J12" s="15">
        <v>0</v>
      </c>
      <c r="K12" s="15">
        <v>19000</v>
      </c>
      <c r="L12" s="15">
        <v>30000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19000</v>
      </c>
      <c r="S12" s="15">
        <v>25000</v>
      </c>
      <c r="T12" s="15">
        <v>0</v>
      </c>
      <c r="U12" s="15">
        <v>7200</v>
      </c>
      <c r="V12" s="15">
        <v>5000</v>
      </c>
      <c r="W12" s="15">
        <v>67000</v>
      </c>
      <c r="X12" s="15">
        <v>15000</v>
      </c>
      <c r="Y12" s="15">
        <v>19000</v>
      </c>
      <c r="Z12" s="15">
        <v>0</v>
      </c>
      <c r="AA12" s="15">
        <v>19000</v>
      </c>
      <c r="AB12" s="15">
        <v>0</v>
      </c>
      <c r="AC12" s="15">
        <v>7200</v>
      </c>
      <c r="AD12" s="15">
        <v>0</v>
      </c>
      <c r="AE12" s="15">
        <v>15000</v>
      </c>
      <c r="AF12" s="15">
        <v>15000</v>
      </c>
      <c r="AG12" s="15">
        <v>15000</v>
      </c>
      <c r="AH12" s="15">
        <v>15000</v>
      </c>
      <c r="AI12" s="15">
        <v>0</v>
      </c>
      <c r="AJ12" s="15">
        <v>15000</v>
      </c>
      <c r="AK12" s="15">
        <v>15000</v>
      </c>
      <c r="AL12" s="15">
        <v>0</v>
      </c>
      <c r="AM12" s="15">
        <v>36000</v>
      </c>
      <c r="AN12" s="15">
        <v>7200</v>
      </c>
      <c r="AO12" s="15">
        <v>15000</v>
      </c>
      <c r="AP12" s="15">
        <v>0</v>
      </c>
      <c r="AQ12" s="15">
        <v>0</v>
      </c>
      <c r="AR12" s="15">
        <v>0</v>
      </c>
      <c r="AS12" s="15">
        <v>5000</v>
      </c>
      <c r="AT12" s="15">
        <v>0</v>
      </c>
      <c r="AU12" s="15">
        <v>0</v>
      </c>
      <c r="AV12" s="15">
        <v>0</v>
      </c>
      <c r="AW12" s="15">
        <v>27000</v>
      </c>
      <c r="AX12" s="15">
        <v>0</v>
      </c>
      <c r="AY12" s="15">
        <v>30000</v>
      </c>
      <c r="AZ12" s="15">
        <v>0</v>
      </c>
      <c r="BA12" s="15">
        <v>0</v>
      </c>
      <c r="BB12" s="15">
        <v>7200</v>
      </c>
      <c r="BC12" s="15">
        <v>15000</v>
      </c>
      <c r="BD12" s="15">
        <v>65000</v>
      </c>
      <c r="BE12" s="15">
        <v>27000</v>
      </c>
      <c r="BF12" s="15">
        <v>0</v>
      </c>
      <c r="BG12" s="15">
        <v>0</v>
      </c>
      <c r="BH12" s="15">
        <v>64000</v>
      </c>
      <c r="BI12" s="15">
        <v>0</v>
      </c>
      <c r="BJ12" s="15">
        <v>15000</v>
      </c>
      <c r="BK12" s="15">
        <v>0</v>
      </c>
      <c r="BL12" s="15">
        <v>62000</v>
      </c>
      <c r="BM12" s="15">
        <v>27000</v>
      </c>
      <c r="BN12" s="15">
        <v>0</v>
      </c>
      <c r="BO12" s="15">
        <v>0</v>
      </c>
      <c r="BP12" s="15">
        <v>29000</v>
      </c>
      <c r="BQ12" s="15">
        <v>0</v>
      </c>
      <c r="BR12" s="15">
        <v>7200</v>
      </c>
      <c r="BS12" s="15">
        <v>0</v>
      </c>
      <c r="BT12" s="15">
        <v>0</v>
      </c>
      <c r="BU12" s="15">
        <v>15000</v>
      </c>
      <c r="BV12" s="15">
        <v>60000</v>
      </c>
      <c r="BW12" s="15">
        <v>0</v>
      </c>
      <c r="BX12" s="15">
        <v>7200</v>
      </c>
      <c r="BY12" s="15">
        <v>7200</v>
      </c>
      <c r="BZ12" s="15">
        <v>0</v>
      </c>
      <c r="CA12" s="15">
        <v>0</v>
      </c>
      <c r="CB12" s="15">
        <v>0</v>
      </c>
      <c r="CC12" s="15">
        <v>7200</v>
      </c>
      <c r="CD12" s="15">
        <v>0</v>
      </c>
      <c r="CE12" s="15">
        <v>0</v>
      </c>
      <c r="CF12" s="15">
        <v>0</v>
      </c>
      <c r="CG12" s="15">
        <v>0</v>
      </c>
      <c r="CH12" s="15">
        <v>15000</v>
      </c>
      <c r="CI12" s="15">
        <v>30000</v>
      </c>
      <c r="CJ12" s="15">
        <v>30000</v>
      </c>
      <c r="CK12" s="15">
        <v>0</v>
      </c>
      <c r="CL12" s="15">
        <v>39000</v>
      </c>
      <c r="CM12" s="15">
        <v>38000</v>
      </c>
      <c r="CN12" s="15">
        <v>7200</v>
      </c>
      <c r="CO12" s="15">
        <v>0</v>
      </c>
      <c r="CP12" s="15">
        <v>0</v>
      </c>
      <c r="CQ12" s="15">
        <v>0</v>
      </c>
      <c r="CR12" s="15">
        <v>0</v>
      </c>
      <c r="CS12" s="15">
        <v>7200</v>
      </c>
      <c r="CT12" s="15">
        <v>0</v>
      </c>
      <c r="CU12" s="15">
        <v>7200</v>
      </c>
      <c r="CV12" s="15">
        <v>0</v>
      </c>
      <c r="CW12" s="15">
        <v>7200</v>
      </c>
    </row>
    <row r="13" spans="1:101" x14ac:dyDescent="0.75">
      <c r="A13" s="22">
        <v>11</v>
      </c>
      <c r="B13" s="15">
        <v>19000</v>
      </c>
      <c r="C13" s="15">
        <v>60000</v>
      </c>
      <c r="D13" s="15">
        <v>7200</v>
      </c>
      <c r="E13" s="15">
        <v>15000</v>
      </c>
      <c r="F13" s="15">
        <v>0</v>
      </c>
      <c r="G13" s="15">
        <v>33000</v>
      </c>
      <c r="H13" s="15">
        <v>74000</v>
      </c>
      <c r="I13" s="15">
        <v>0</v>
      </c>
      <c r="J13" s="15">
        <v>0</v>
      </c>
      <c r="K13" s="15">
        <v>19000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30000</v>
      </c>
      <c r="R13" s="15">
        <v>19000</v>
      </c>
      <c r="S13" s="15">
        <v>26000</v>
      </c>
      <c r="T13" s="15">
        <v>0</v>
      </c>
      <c r="U13" s="15">
        <v>7200</v>
      </c>
      <c r="V13" s="15">
        <v>5000</v>
      </c>
      <c r="W13" s="15">
        <v>68000</v>
      </c>
      <c r="X13" s="15">
        <v>15000</v>
      </c>
      <c r="Y13" s="15">
        <v>19000</v>
      </c>
      <c r="Z13" s="15">
        <v>0</v>
      </c>
      <c r="AA13" s="15">
        <v>19000</v>
      </c>
      <c r="AB13" s="15">
        <v>0</v>
      </c>
      <c r="AC13" s="15">
        <v>7200</v>
      </c>
      <c r="AD13" s="15">
        <v>30000</v>
      </c>
      <c r="AE13" s="15">
        <v>15000</v>
      </c>
      <c r="AF13" s="15">
        <v>15000</v>
      </c>
      <c r="AG13" s="15">
        <v>15000</v>
      </c>
      <c r="AH13" s="15">
        <v>15000</v>
      </c>
      <c r="AI13" s="15">
        <v>0</v>
      </c>
      <c r="AJ13" s="15">
        <v>15000</v>
      </c>
      <c r="AK13" s="15">
        <v>15000</v>
      </c>
      <c r="AL13" s="15">
        <v>0</v>
      </c>
      <c r="AM13" s="15">
        <v>37000</v>
      </c>
      <c r="AN13" s="15">
        <v>7200</v>
      </c>
      <c r="AO13" s="15">
        <v>15000</v>
      </c>
      <c r="AP13" s="15">
        <v>0</v>
      </c>
      <c r="AQ13" s="15">
        <v>0</v>
      </c>
      <c r="AR13" s="15">
        <v>0</v>
      </c>
      <c r="AS13" s="15">
        <v>5000</v>
      </c>
      <c r="AT13" s="15">
        <v>60000</v>
      </c>
      <c r="AU13" s="15">
        <v>0</v>
      </c>
      <c r="AV13" s="15">
        <v>0</v>
      </c>
      <c r="AW13" s="15">
        <v>28000</v>
      </c>
      <c r="AX13" s="15">
        <v>0</v>
      </c>
      <c r="AY13" s="15">
        <v>0</v>
      </c>
      <c r="AZ13" s="15">
        <v>0</v>
      </c>
      <c r="BA13" s="15">
        <v>0</v>
      </c>
      <c r="BB13" s="15">
        <v>7200</v>
      </c>
      <c r="BC13" s="15">
        <v>15000</v>
      </c>
      <c r="BD13" s="15">
        <v>66000</v>
      </c>
      <c r="BE13" s="15">
        <v>28000</v>
      </c>
      <c r="BF13" s="15">
        <v>0</v>
      </c>
      <c r="BG13" s="15">
        <v>0</v>
      </c>
      <c r="BH13" s="15">
        <v>65000</v>
      </c>
      <c r="BI13" s="15">
        <v>15000</v>
      </c>
      <c r="BJ13" s="15">
        <v>15000</v>
      </c>
      <c r="BK13" s="15">
        <v>0</v>
      </c>
      <c r="BL13" s="15">
        <v>63000</v>
      </c>
      <c r="BM13" s="15">
        <v>28000</v>
      </c>
      <c r="BN13" s="15">
        <v>0</v>
      </c>
      <c r="BO13" s="15">
        <v>30000</v>
      </c>
      <c r="BP13" s="15">
        <v>30000</v>
      </c>
      <c r="BQ13" s="15">
        <v>0</v>
      </c>
      <c r="BR13" s="15">
        <v>7200</v>
      </c>
      <c r="BS13" s="15">
        <v>30000</v>
      </c>
      <c r="BT13" s="15">
        <v>30000</v>
      </c>
      <c r="BU13" s="15">
        <v>15000</v>
      </c>
      <c r="BV13" s="15">
        <v>61000</v>
      </c>
      <c r="BW13" s="15">
        <v>0</v>
      </c>
      <c r="BX13" s="15">
        <v>7200</v>
      </c>
      <c r="BY13" s="15">
        <v>7200</v>
      </c>
      <c r="BZ13" s="15">
        <v>15000</v>
      </c>
      <c r="CA13" s="15">
        <v>0</v>
      </c>
      <c r="CB13" s="15">
        <v>0</v>
      </c>
      <c r="CC13" s="15">
        <v>7200</v>
      </c>
      <c r="CD13" s="15">
        <v>30000</v>
      </c>
      <c r="CE13" s="15">
        <v>0</v>
      </c>
      <c r="CF13" s="15">
        <v>0</v>
      </c>
      <c r="CG13" s="15">
        <v>0</v>
      </c>
      <c r="CH13" s="15">
        <v>15000</v>
      </c>
      <c r="CI13" s="15">
        <v>0</v>
      </c>
      <c r="CJ13" s="15">
        <v>0</v>
      </c>
      <c r="CK13" s="15">
        <v>15000</v>
      </c>
      <c r="CL13" s="15">
        <v>40000</v>
      </c>
      <c r="CM13" s="15">
        <v>39000</v>
      </c>
      <c r="CN13" s="15">
        <v>7200</v>
      </c>
      <c r="CO13" s="15">
        <v>0</v>
      </c>
      <c r="CP13" s="15">
        <v>30000</v>
      </c>
      <c r="CQ13" s="15">
        <v>0</v>
      </c>
      <c r="CR13" s="15">
        <v>7200</v>
      </c>
      <c r="CS13" s="15">
        <v>7200</v>
      </c>
      <c r="CT13" s="15">
        <v>0</v>
      </c>
      <c r="CU13" s="15">
        <v>7200</v>
      </c>
      <c r="CV13" s="15">
        <v>7200</v>
      </c>
      <c r="CW13" s="15">
        <v>7200</v>
      </c>
    </row>
    <row r="14" spans="1:101" x14ac:dyDescent="0.75">
      <c r="A14" s="22">
        <v>12</v>
      </c>
      <c r="B14" s="15">
        <v>19000</v>
      </c>
      <c r="C14" s="15">
        <v>61000</v>
      </c>
      <c r="D14" s="15">
        <v>7200</v>
      </c>
      <c r="E14" s="15">
        <v>15000</v>
      </c>
      <c r="F14" s="15">
        <v>0</v>
      </c>
      <c r="G14" s="15">
        <v>34000</v>
      </c>
      <c r="H14" s="15">
        <v>75000</v>
      </c>
      <c r="I14" s="15">
        <v>0</v>
      </c>
      <c r="J14" s="15">
        <v>0</v>
      </c>
      <c r="K14" s="15">
        <v>19000</v>
      </c>
      <c r="L14" s="15">
        <v>30000</v>
      </c>
      <c r="M14" s="15">
        <v>0</v>
      </c>
      <c r="N14" s="15">
        <v>0</v>
      </c>
      <c r="O14" s="15">
        <v>0</v>
      </c>
      <c r="P14" s="15">
        <v>0</v>
      </c>
      <c r="Q14" s="15">
        <v>0</v>
      </c>
      <c r="R14" s="15">
        <v>19000</v>
      </c>
      <c r="S14" s="15">
        <v>27000</v>
      </c>
      <c r="T14" s="15">
        <v>0</v>
      </c>
      <c r="U14" s="15">
        <v>7200</v>
      </c>
      <c r="V14" s="15">
        <v>5000</v>
      </c>
      <c r="W14" s="15">
        <v>69000</v>
      </c>
      <c r="X14" s="15">
        <v>15000</v>
      </c>
      <c r="Y14" s="15">
        <v>19000</v>
      </c>
      <c r="Z14" s="15">
        <v>0</v>
      </c>
      <c r="AA14" s="15">
        <v>19000</v>
      </c>
      <c r="AB14" s="15">
        <v>0</v>
      </c>
      <c r="AC14" s="15">
        <v>7200</v>
      </c>
      <c r="AD14" s="15">
        <v>0</v>
      </c>
      <c r="AE14" s="15">
        <v>15000</v>
      </c>
      <c r="AF14" s="15">
        <v>15000</v>
      </c>
      <c r="AG14" s="15">
        <v>15000</v>
      </c>
      <c r="AH14" s="15">
        <v>15000</v>
      </c>
      <c r="AI14" s="15">
        <v>0</v>
      </c>
      <c r="AJ14" s="15">
        <v>15000</v>
      </c>
      <c r="AK14" s="15">
        <v>15000</v>
      </c>
      <c r="AL14" s="15">
        <v>0</v>
      </c>
      <c r="AM14" s="15">
        <v>38000</v>
      </c>
      <c r="AN14" s="15">
        <v>7200</v>
      </c>
      <c r="AO14" s="15">
        <v>15000</v>
      </c>
      <c r="AP14" s="15">
        <v>0</v>
      </c>
      <c r="AQ14" s="15">
        <v>0</v>
      </c>
      <c r="AR14" s="15">
        <v>0</v>
      </c>
      <c r="AS14" s="15">
        <v>5000</v>
      </c>
      <c r="AT14" s="15">
        <v>61000</v>
      </c>
      <c r="AU14" s="15">
        <v>0</v>
      </c>
      <c r="AV14" s="15">
        <v>0</v>
      </c>
      <c r="AW14" s="15">
        <v>29000</v>
      </c>
      <c r="AX14" s="15">
        <v>0</v>
      </c>
      <c r="AY14" s="15">
        <v>30000</v>
      </c>
      <c r="AZ14" s="15">
        <v>0</v>
      </c>
      <c r="BA14" s="15">
        <v>0</v>
      </c>
      <c r="BB14" s="15">
        <v>7200</v>
      </c>
      <c r="BC14" s="15">
        <v>15000</v>
      </c>
      <c r="BD14" s="15">
        <v>67000</v>
      </c>
      <c r="BE14" s="15">
        <v>29000</v>
      </c>
      <c r="BF14" s="15">
        <v>0</v>
      </c>
      <c r="BG14" s="15">
        <v>0</v>
      </c>
      <c r="BH14" s="15">
        <v>66000</v>
      </c>
      <c r="BI14" s="15">
        <v>15000</v>
      </c>
      <c r="BJ14" s="15">
        <v>15000</v>
      </c>
      <c r="BK14" s="15">
        <v>0</v>
      </c>
      <c r="BL14" s="15">
        <v>64000</v>
      </c>
      <c r="BM14" s="15">
        <v>29000</v>
      </c>
      <c r="BN14" s="15">
        <v>0</v>
      </c>
      <c r="BO14" s="15">
        <v>0</v>
      </c>
      <c r="BP14" s="15">
        <v>31000</v>
      </c>
      <c r="BQ14" s="15">
        <v>0</v>
      </c>
      <c r="BR14" s="15">
        <v>7200</v>
      </c>
      <c r="BS14" s="15">
        <v>0</v>
      </c>
      <c r="BT14" s="15">
        <v>0</v>
      </c>
      <c r="BU14" s="15">
        <v>15000</v>
      </c>
      <c r="BV14" s="15">
        <v>62000</v>
      </c>
      <c r="BW14" s="15">
        <v>0</v>
      </c>
      <c r="BX14" s="15">
        <v>7200</v>
      </c>
      <c r="BY14" s="15">
        <v>7200</v>
      </c>
      <c r="BZ14" s="15">
        <v>15000</v>
      </c>
      <c r="CA14" s="15">
        <v>7200</v>
      </c>
      <c r="CB14" s="15">
        <v>0</v>
      </c>
      <c r="CC14" s="15">
        <v>7200</v>
      </c>
      <c r="CD14" s="15">
        <v>0</v>
      </c>
      <c r="CE14" s="15">
        <v>0</v>
      </c>
      <c r="CF14" s="15">
        <v>0</v>
      </c>
      <c r="CG14" s="15">
        <v>25000</v>
      </c>
      <c r="CH14" s="15">
        <v>15000</v>
      </c>
      <c r="CI14" s="15">
        <v>30000</v>
      </c>
      <c r="CJ14" s="15">
        <v>30000</v>
      </c>
      <c r="CK14" s="15">
        <v>15000</v>
      </c>
      <c r="CL14" s="15">
        <v>41000</v>
      </c>
      <c r="CM14" s="15">
        <v>40000</v>
      </c>
      <c r="CN14" s="15">
        <v>7200</v>
      </c>
      <c r="CO14" s="15">
        <v>0</v>
      </c>
      <c r="CP14" s="15">
        <v>0</v>
      </c>
      <c r="CQ14" s="15">
        <v>0</v>
      </c>
      <c r="CR14" s="15">
        <v>7200</v>
      </c>
      <c r="CS14" s="15">
        <v>7200</v>
      </c>
      <c r="CT14" s="15">
        <v>0</v>
      </c>
      <c r="CU14" s="15">
        <v>7200</v>
      </c>
      <c r="CV14" s="15">
        <v>7200</v>
      </c>
      <c r="CW14" s="15">
        <v>7200</v>
      </c>
    </row>
    <row r="15" spans="1:101" x14ac:dyDescent="0.75">
      <c r="A15" s="22">
        <v>13</v>
      </c>
      <c r="B15" s="15">
        <v>19000</v>
      </c>
      <c r="C15" s="15">
        <v>62000</v>
      </c>
      <c r="D15" s="15">
        <v>7200</v>
      </c>
      <c r="E15" s="15">
        <v>15000</v>
      </c>
      <c r="F15" s="15">
        <v>0</v>
      </c>
      <c r="G15" s="15">
        <v>35000</v>
      </c>
      <c r="H15" s="15">
        <v>76000</v>
      </c>
      <c r="I15" s="15">
        <v>7200</v>
      </c>
      <c r="J15" s="15">
        <v>0</v>
      </c>
      <c r="K15" s="15">
        <v>19000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19000</v>
      </c>
      <c r="S15" s="15">
        <v>28000</v>
      </c>
      <c r="T15" s="15">
        <v>0</v>
      </c>
      <c r="U15" s="15">
        <v>7200</v>
      </c>
      <c r="V15" s="15">
        <v>5000</v>
      </c>
      <c r="W15" s="15">
        <v>70000</v>
      </c>
      <c r="X15" s="15">
        <v>0</v>
      </c>
      <c r="Y15" s="15">
        <v>25000</v>
      </c>
      <c r="Z15" s="15">
        <v>0</v>
      </c>
      <c r="AA15" s="15">
        <v>19000</v>
      </c>
      <c r="AB15" s="15">
        <v>0</v>
      </c>
      <c r="AC15" s="15">
        <v>7200</v>
      </c>
      <c r="AD15" s="15">
        <v>30000</v>
      </c>
      <c r="AE15" s="15">
        <v>15000</v>
      </c>
      <c r="AF15" s="15">
        <v>15000</v>
      </c>
      <c r="AG15" s="15">
        <v>0</v>
      </c>
      <c r="AH15" s="15">
        <v>15000</v>
      </c>
      <c r="AI15" s="15">
        <v>0</v>
      </c>
      <c r="AJ15" s="15">
        <v>15000</v>
      </c>
      <c r="AK15" s="15">
        <v>15000</v>
      </c>
      <c r="AL15" s="15">
        <v>0</v>
      </c>
      <c r="AM15" s="15">
        <v>39000</v>
      </c>
      <c r="AN15" s="15">
        <v>7200</v>
      </c>
      <c r="AO15" s="15">
        <v>15000</v>
      </c>
      <c r="AP15" s="15">
        <v>0</v>
      </c>
      <c r="AQ15" s="15">
        <v>0</v>
      </c>
      <c r="AR15" s="15">
        <v>0</v>
      </c>
      <c r="AS15" s="15">
        <v>5000</v>
      </c>
      <c r="AT15" s="15">
        <v>62000</v>
      </c>
      <c r="AU15" s="15">
        <v>0</v>
      </c>
      <c r="AV15" s="15">
        <v>0</v>
      </c>
      <c r="AW15" s="15">
        <v>30000</v>
      </c>
      <c r="AX15" s="15">
        <v>0</v>
      </c>
      <c r="AY15" s="15">
        <v>0</v>
      </c>
      <c r="AZ15" s="15">
        <v>0</v>
      </c>
      <c r="BA15" s="15">
        <v>7200</v>
      </c>
      <c r="BB15" s="15">
        <v>7200</v>
      </c>
      <c r="BC15" s="15">
        <v>15000</v>
      </c>
      <c r="BD15" s="15">
        <v>68000</v>
      </c>
      <c r="BE15" s="15">
        <v>30000</v>
      </c>
      <c r="BF15" s="15">
        <v>0</v>
      </c>
      <c r="BG15" s="15">
        <v>0</v>
      </c>
      <c r="BH15" s="15">
        <v>67000</v>
      </c>
      <c r="BI15" s="15">
        <v>15000</v>
      </c>
      <c r="BJ15" s="15">
        <v>15000</v>
      </c>
      <c r="BK15" s="15">
        <v>0</v>
      </c>
      <c r="BL15" s="15">
        <v>65000</v>
      </c>
      <c r="BM15" s="15">
        <v>30000</v>
      </c>
      <c r="BN15" s="15">
        <v>15000</v>
      </c>
      <c r="BO15" s="15">
        <v>30000</v>
      </c>
      <c r="BP15" s="15">
        <v>32000</v>
      </c>
      <c r="BQ15" s="15">
        <v>0</v>
      </c>
      <c r="BR15" s="15">
        <v>7200</v>
      </c>
      <c r="BS15" s="15">
        <v>30000</v>
      </c>
      <c r="BT15" s="15">
        <v>0</v>
      </c>
      <c r="BU15" s="15">
        <v>15000</v>
      </c>
      <c r="BV15" s="15">
        <v>63000</v>
      </c>
      <c r="BW15" s="15">
        <v>0</v>
      </c>
      <c r="BX15" s="15">
        <v>7200</v>
      </c>
      <c r="BY15" s="15">
        <v>7200</v>
      </c>
      <c r="BZ15" s="15">
        <v>15000</v>
      </c>
      <c r="CA15" s="15">
        <v>7200</v>
      </c>
      <c r="CB15" s="15">
        <v>0</v>
      </c>
      <c r="CC15" s="15">
        <v>7200</v>
      </c>
      <c r="CD15" s="15">
        <v>30000</v>
      </c>
      <c r="CE15" s="15">
        <v>0</v>
      </c>
      <c r="CF15" s="15">
        <v>0</v>
      </c>
      <c r="CG15" s="15">
        <v>26000</v>
      </c>
      <c r="CH15" s="15">
        <v>15000</v>
      </c>
      <c r="CI15" s="15">
        <v>0</v>
      </c>
      <c r="CJ15" s="15">
        <v>0</v>
      </c>
      <c r="CK15" s="15">
        <v>15000</v>
      </c>
      <c r="CL15" s="15">
        <v>42000</v>
      </c>
      <c r="CM15" s="15">
        <v>41000</v>
      </c>
      <c r="CN15" s="15">
        <v>7200</v>
      </c>
      <c r="CO15" s="15">
        <v>7200</v>
      </c>
      <c r="CP15" s="15">
        <v>30000</v>
      </c>
      <c r="CQ15" s="15">
        <v>0</v>
      </c>
      <c r="CR15" s="15">
        <v>7200</v>
      </c>
      <c r="CS15" s="15">
        <v>7200</v>
      </c>
      <c r="CT15" s="15">
        <v>0</v>
      </c>
      <c r="CU15" s="15">
        <v>7200</v>
      </c>
      <c r="CV15" s="15">
        <v>7200</v>
      </c>
      <c r="CW15" s="15">
        <v>7200</v>
      </c>
    </row>
    <row r="16" spans="1:101" x14ac:dyDescent="0.75">
      <c r="A16" s="22">
        <v>14</v>
      </c>
      <c r="B16" s="15">
        <v>19000</v>
      </c>
      <c r="C16" s="15">
        <v>63000</v>
      </c>
      <c r="D16" s="15">
        <v>7200</v>
      </c>
      <c r="E16" s="15">
        <v>15000</v>
      </c>
      <c r="F16" s="15">
        <v>25000</v>
      </c>
      <c r="G16" s="15">
        <v>36000</v>
      </c>
      <c r="H16" s="15">
        <v>77000</v>
      </c>
      <c r="I16" s="15">
        <v>7200</v>
      </c>
      <c r="J16" s="15">
        <v>0</v>
      </c>
      <c r="K16" s="15">
        <v>19000</v>
      </c>
      <c r="L16" s="15">
        <v>30000</v>
      </c>
      <c r="M16" s="15">
        <v>15000</v>
      </c>
      <c r="N16" s="15">
        <v>0</v>
      </c>
      <c r="O16" s="15">
        <v>15000</v>
      </c>
      <c r="P16" s="15">
        <v>0</v>
      </c>
      <c r="Q16" s="15">
        <v>0</v>
      </c>
      <c r="R16" s="15">
        <v>19000</v>
      </c>
      <c r="S16" s="15">
        <v>29000</v>
      </c>
      <c r="T16" s="15">
        <v>0</v>
      </c>
      <c r="U16" s="15">
        <v>7200</v>
      </c>
      <c r="V16" s="15">
        <v>5000</v>
      </c>
      <c r="W16" s="15">
        <v>71000</v>
      </c>
      <c r="X16" s="15">
        <v>0</v>
      </c>
      <c r="Y16" s="15">
        <v>25000</v>
      </c>
      <c r="Z16" s="15">
        <v>0</v>
      </c>
      <c r="AA16" s="15">
        <v>25000</v>
      </c>
      <c r="AB16" s="15">
        <v>0</v>
      </c>
      <c r="AC16" s="15">
        <v>7200</v>
      </c>
      <c r="AD16" s="15">
        <v>0</v>
      </c>
      <c r="AE16" s="15">
        <v>15000</v>
      </c>
      <c r="AF16" s="15">
        <v>15000</v>
      </c>
      <c r="AG16" s="15">
        <v>0</v>
      </c>
      <c r="AH16" s="15">
        <v>15000</v>
      </c>
      <c r="AI16" s="15">
        <v>19000</v>
      </c>
      <c r="AJ16" s="15">
        <v>15000</v>
      </c>
      <c r="AK16" s="15">
        <v>15000</v>
      </c>
      <c r="AL16" s="15">
        <v>0</v>
      </c>
      <c r="AM16" s="15">
        <v>40000</v>
      </c>
      <c r="AN16" s="15">
        <v>7200</v>
      </c>
      <c r="AO16" s="15">
        <v>15000</v>
      </c>
      <c r="AP16" s="15">
        <v>0</v>
      </c>
      <c r="AQ16" s="15">
        <v>0</v>
      </c>
      <c r="AR16" s="15">
        <v>0</v>
      </c>
      <c r="AS16" s="15">
        <v>5000</v>
      </c>
      <c r="AT16" s="15">
        <v>63000</v>
      </c>
      <c r="AU16" s="15">
        <v>0</v>
      </c>
      <c r="AV16" s="15">
        <v>0</v>
      </c>
      <c r="AW16" s="15">
        <v>31000</v>
      </c>
      <c r="AX16" s="15">
        <v>5555.56</v>
      </c>
      <c r="AY16" s="15">
        <v>30000</v>
      </c>
      <c r="AZ16" s="15">
        <v>19000</v>
      </c>
      <c r="BA16" s="15">
        <v>7200</v>
      </c>
      <c r="BB16" s="15">
        <v>7200</v>
      </c>
      <c r="BC16" s="15">
        <v>0</v>
      </c>
      <c r="BD16" s="15">
        <v>69000</v>
      </c>
      <c r="BE16" s="15">
        <v>31000</v>
      </c>
      <c r="BF16" s="15">
        <v>0</v>
      </c>
      <c r="BG16" s="15">
        <v>7200</v>
      </c>
      <c r="BH16" s="15">
        <v>68000</v>
      </c>
      <c r="BI16" s="15">
        <v>15000</v>
      </c>
      <c r="BJ16" s="15">
        <v>15000</v>
      </c>
      <c r="BK16" s="15">
        <v>0</v>
      </c>
      <c r="BL16" s="15">
        <v>66000</v>
      </c>
      <c r="BM16" s="15">
        <v>31000</v>
      </c>
      <c r="BN16" s="15">
        <v>15000</v>
      </c>
      <c r="BO16" s="15">
        <v>0</v>
      </c>
      <c r="BP16" s="15">
        <v>33000</v>
      </c>
      <c r="BQ16" s="15">
        <v>0</v>
      </c>
      <c r="BR16" s="15">
        <v>7200</v>
      </c>
      <c r="BS16" s="15">
        <v>0</v>
      </c>
      <c r="BT16" s="15">
        <v>0</v>
      </c>
      <c r="BU16" s="15">
        <v>15000</v>
      </c>
      <c r="BV16" s="15">
        <v>64000</v>
      </c>
      <c r="BW16" s="15">
        <v>0</v>
      </c>
      <c r="BX16" s="15">
        <v>7200</v>
      </c>
      <c r="BY16" s="15">
        <v>7200</v>
      </c>
      <c r="BZ16" s="15">
        <v>15000</v>
      </c>
      <c r="CA16" s="15">
        <v>7200</v>
      </c>
      <c r="CB16" s="15">
        <v>0</v>
      </c>
      <c r="CC16" s="15">
        <v>7200</v>
      </c>
      <c r="CD16" s="15">
        <v>0</v>
      </c>
      <c r="CE16" s="15">
        <v>7200</v>
      </c>
      <c r="CF16" s="15">
        <v>0</v>
      </c>
      <c r="CG16" s="15">
        <v>27000</v>
      </c>
      <c r="CH16" s="15">
        <v>15000</v>
      </c>
      <c r="CI16" s="15">
        <v>0</v>
      </c>
      <c r="CJ16" s="15">
        <v>30000</v>
      </c>
      <c r="CK16" s="15">
        <v>15000</v>
      </c>
      <c r="CL16" s="15">
        <v>43000</v>
      </c>
      <c r="CM16" s="15">
        <v>42000</v>
      </c>
      <c r="CN16" s="15">
        <v>7200</v>
      </c>
      <c r="CO16" s="15">
        <v>7200</v>
      </c>
      <c r="CP16" s="15">
        <v>0</v>
      </c>
      <c r="CQ16" s="15">
        <v>0</v>
      </c>
      <c r="CR16" s="15">
        <v>7200</v>
      </c>
      <c r="CS16" s="15">
        <v>7200</v>
      </c>
      <c r="CT16" s="15">
        <v>0</v>
      </c>
      <c r="CU16" s="15">
        <v>7200</v>
      </c>
      <c r="CV16" s="15">
        <v>7200</v>
      </c>
      <c r="CW16" s="15">
        <v>7200</v>
      </c>
    </row>
    <row r="17" spans="1:101" x14ac:dyDescent="0.75">
      <c r="A17" s="22">
        <v>15</v>
      </c>
      <c r="B17" s="15">
        <v>19000</v>
      </c>
      <c r="C17" s="15">
        <v>64000</v>
      </c>
      <c r="D17" s="15">
        <v>7200</v>
      </c>
      <c r="E17" s="15">
        <v>15000</v>
      </c>
      <c r="F17" s="15">
        <v>26000</v>
      </c>
      <c r="G17" s="15">
        <v>37000</v>
      </c>
      <c r="H17" s="15">
        <v>78000</v>
      </c>
      <c r="I17" s="15">
        <v>7200</v>
      </c>
      <c r="J17" s="15">
        <v>60000</v>
      </c>
      <c r="K17" s="15">
        <v>19000</v>
      </c>
      <c r="L17" s="15">
        <v>0</v>
      </c>
      <c r="M17" s="15">
        <v>15000</v>
      </c>
      <c r="N17" s="15">
        <v>0</v>
      </c>
      <c r="O17" s="15">
        <v>15000</v>
      </c>
      <c r="P17" s="15">
        <v>14285.71</v>
      </c>
      <c r="Q17" s="15">
        <v>0</v>
      </c>
      <c r="R17" s="15">
        <v>19000</v>
      </c>
      <c r="S17" s="15">
        <v>30000</v>
      </c>
      <c r="T17" s="15">
        <v>0</v>
      </c>
      <c r="U17" s="15">
        <v>7200</v>
      </c>
      <c r="V17" s="15">
        <v>5000</v>
      </c>
      <c r="W17" s="15">
        <v>72000</v>
      </c>
      <c r="X17" s="15">
        <v>0</v>
      </c>
      <c r="Y17" s="15">
        <v>25000</v>
      </c>
      <c r="Z17" s="15">
        <v>30000</v>
      </c>
      <c r="AA17" s="15">
        <v>25000</v>
      </c>
      <c r="AB17" s="15">
        <v>15000</v>
      </c>
      <c r="AC17" s="15">
        <v>7200</v>
      </c>
      <c r="AD17" s="15">
        <v>30000</v>
      </c>
      <c r="AE17" s="15">
        <v>0</v>
      </c>
      <c r="AF17" s="15">
        <v>15000</v>
      </c>
      <c r="AG17" s="15">
        <v>0</v>
      </c>
      <c r="AH17" s="15">
        <v>15000</v>
      </c>
      <c r="AI17" s="15">
        <v>19000</v>
      </c>
      <c r="AJ17" s="15">
        <v>15000</v>
      </c>
      <c r="AK17" s="15">
        <v>15000</v>
      </c>
      <c r="AL17" s="15">
        <v>0</v>
      </c>
      <c r="AM17" s="15">
        <v>41000</v>
      </c>
      <c r="AN17" s="15">
        <v>7200</v>
      </c>
      <c r="AO17" s="15">
        <v>15000</v>
      </c>
      <c r="AP17" s="15">
        <v>0</v>
      </c>
      <c r="AQ17" s="15">
        <v>0</v>
      </c>
      <c r="AR17" s="15">
        <v>0</v>
      </c>
      <c r="AS17" s="15">
        <v>5000</v>
      </c>
      <c r="AT17" s="15">
        <v>64000</v>
      </c>
      <c r="AU17" s="15">
        <v>30000</v>
      </c>
      <c r="AV17" s="15">
        <v>0</v>
      </c>
      <c r="AW17" s="15">
        <v>32000</v>
      </c>
      <c r="AX17" s="15">
        <v>5555.56</v>
      </c>
      <c r="AY17" s="15">
        <v>0</v>
      </c>
      <c r="AZ17" s="15">
        <v>19000</v>
      </c>
      <c r="BA17" s="15">
        <v>7200</v>
      </c>
      <c r="BB17" s="15">
        <v>7200</v>
      </c>
      <c r="BC17" s="15">
        <v>0</v>
      </c>
      <c r="BD17" s="15">
        <v>70000</v>
      </c>
      <c r="BE17" s="15">
        <v>32000</v>
      </c>
      <c r="BF17" s="15">
        <v>0</v>
      </c>
      <c r="BG17" s="15">
        <v>7200</v>
      </c>
      <c r="BH17" s="15">
        <v>69000</v>
      </c>
      <c r="BI17" s="15">
        <v>15000</v>
      </c>
      <c r="BJ17" s="15">
        <v>15000</v>
      </c>
      <c r="BK17" s="15">
        <v>0</v>
      </c>
      <c r="BL17" s="15">
        <v>67000</v>
      </c>
      <c r="BM17" s="15">
        <v>32000</v>
      </c>
      <c r="BN17" s="15">
        <v>15000</v>
      </c>
      <c r="BO17" s="15">
        <v>30000</v>
      </c>
      <c r="BP17" s="15">
        <v>34000</v>
      </c>
      <c r="BQ17" s="15">
        <v>0</v>
      </c>
      <c r="BR17" s="15">
        <v>7200</v>
      </c>
      <c r="BS17" s="15">
        <v>30000</v>
      </c>
      <c r="BT17" s="15">
        <v>0</v>
      </c>
      <c r="BU17" s="15">
        <v>15000</v>
      </c>
      <c r="BV17" s="15">
        <v>65000</v>
      </c>
      <c r="BW17" s="15">
        <v>0</v>
      </c>
      <c r="BX17" s="15">
        <v>7200</v>
      </c>
      <c r="BY17" s="15">
        <v>7200</v>
      </c>
      <c r="BZ17" s="15">
        <v>15000</v>
      </c>
      <c r="CA17" s="15">
        <v>7200</v>
      </c>
      <c r="CB17" s="15">
        <v>0</v>
      </c>
      <c r="CC17" s="15">
        <v>7200</v>
      </c>
      <c r="CD17" s="15">
        <v>30000</v>
      </c>
      <c r="CE17" s="15">
        <v>7200</v>
      </c>
      <c r="CF17" s="15">
        <v>0</v>
      </c>
      <c r="CG17" s="15">
        <v>28000</v>
      </c>
      <c r="CH17" s="15">
        <v>15000</v>
      </c>
      <c r="CI17" s="15">
        <v>0</v>
      </c>
      <c r="CJ17" s="15">
        <v>0</v>
      </c>
      <c r="CK17" s="15">
        <v>15000</v>
      </c>
      <c r="CL17" s="15">
        <v>44000</v>
      </c>
      <c r="CM17" s="15">
        <v>43000</v>
      </c>
      <c r="CN17" s="15">
        <v>7200</v>
      </c>
      <c r="CO17" s="15">
        <v>7200</v>
      </c>
      <c r="CP17" s="15">
        <v>30000</v>
      </c>
      <c r="CQ17" s="15">
        <v>7200</v>
      </c>
      <c r="CR17" s="15">
        <v>7200</v>
      </c>
      <c r="CS17" s="15">
        <v>7200</v>
      </c>
      <c r="CT17" s="15">
        <v>0</v>
      </c>
      <c r="CU17" s="15">
        <v>7200</v>
      </c>
      <c r="CV17" s="15">
        <v>7200</v>
      </c>
      <c r="CW17" s="15">
        <v>7200</v>
      </c>
    </row>
    <row r="18" spans="1:101" x14ac:dyDescent="0.75">
      <c r="A18" s="22">
        <v>16</v>
      </c>
      <c r="B18" s="15">
        <v>19000</v>
      </c>
      <c r="C18" s="15">
        <v>65000</v>
      </c>
      <c r="D18" s="15">
        <v>7200</v>
      </c>
      <c r="E18" s="15">
        <v>15000</v>
      </c>
      <c r="F18" s="15">
        <v>27000</v>
      </c>
      <c r="G18" s="15">
        <v>38000</v>
      </c>
      <c r="H18" s="15">
        <v>79000</v>
      </c>
      <c r="I18" s="15">
        <v>7200</v>
      </c>
      <c r="J18" s="15">
        <v>61000</v>
      </c>
      <c r="K18" s="15">
        <v>25000</v>
      </c>
      <c r="L18" s="15">
        <v>30000</v>
      </c>
      <c r="M18" s="15">
        <v>15000</v>
      </c>
      <c r="N18" s="15">
        <v>0</v>
      </c>
      <c r="O18" s="15">
        <v>15000</v>
      </c>
      <c r="P18" s="15">
        <v>14285.71</v>
      </c>
      <c r="Q18" s="15">
        <v>0</v>
      </c>
      <c r="R18" s="15">
        <v>19000</v>
      </c>
      <c r="S18" s="15">
        <v>31000</v>
      </c>
      <c r="T18" s="15">
        <v>0</v>
      </c>
      <c r="U18" s="15">
        <v>7200</v>
      </c>
      <c r="V18" s="15">
        <v>5000</v>
      </c>
      <c r="W18" s="15">
        <v>73000</v>
      </c>
      <c r="X18" s="15">
        <v>0</v>
      </c>
      <c r="Y18" s="15">
        <v>25000</v>
      </c>
      <c r="Z18" s="15">
        <v>0</v>
      </c>
      <c r="AA18" s="15">
        <v>25000</v>
      </c>
      <c r="AB18" s="15">
        <v>15000</v>
      </c>
      <c r="AC18" s="15">
        <v>7200</v>
      </c>
      <c r="AD18" s="15">
        <v>0</v>
      </c>
      <c r="AE18" s="15">
        <v>0</v>
      </c>
      <c r="AF18" s="15">
        <v>15000</v>
      </c>
      <c r="AG18" s="15">
        <v>0</v>
      </c>
      <c r="AH18" s="15">
        <v>15000</v>
      </c>
      <c r="AI18" s="15">
        <v>19000</v>
      </c>
      <c r="AJ18" s="15">
        <v>15000</v>
      </c>
      <c r="AK18" s="15">
        <v>15000</v>
      </c>
      <c r="AL18" s="15">
        <v>0</v>
      </c>
      <c r="AM18" s="15">
        <v>42000</v>
      </c>
      <c r="AN18" s="15">
        <v>7200</v>
      </c>
      <c r="AO18" s="15">
        <v>0</v>
      </c>
      <c r="AP18" s="15">
        <v>0</v>
      </c>
      <c r="AQ18" s="15">
        <v>0</v>
      </c>
      <c r="AR18" s="15">
        <v>30000</v>
      </c>
      <c r="AS18" s="15">
        <v>5000</v>
      </c>
      <c r="AT18" s="15">
        <v>65000</v>
      </c>
      <c r="AU18" s="15">
        <v>0</v>
      </c>
      <c r="AV18" s="15">
        <v>0</v>
      </c>
      <c r="AW18" s="15">
        <v>33000</v>
      </c>
      <c r="AX18" s="15">
        <v>5555.56</v>
      </c>
      <c r="AY18" s="15">
        <v>30000</v>
      </c>
      <c r="AZ18" s="15">
        <v>19000</v>
      </c>
      <c r="BA18" s="15">
        <v>7200</v>
      </c>
      <c r="BB18" s="15">
        <v>7200</v>
      </c>
      <c r="BC18" s="15">
        <v>0</v>
      </c>
      <c r="BD18" s="15">
        <v>71000</v>
      </c>
      <c r="BE18" s="15">
        <v>33000</v>
      </c>
      <c r="BF18" s="15">
        <v>7200</v>
      </c>
      <c r="BG18" s="15">
        <v>7200</v>
      </c>
      <c r="BH18" s="15">
        <v>70000</v>
      </c>
      <c r="BI18" s="15">
        <v>15000</v>
      </c>
      <c r="BJ18" s="15">
        <v>15000</v>
      </c>
      <c r="BK18" s="15">
        <v>30000</v>
      </c>
      <c r="BL18" s="15">
        <v>68000</v>
      </c>
      <c r="BM18" s="15">
        <v>33000</v>
      </c>
      <c r="BN18" s="15">
        <v>15000</v>
      </c>
      <c r="BO18" s="15">
        <v>0</v>
      </c>
      <c r="BP18" s="15">
        <v>35000</v>
      </c>
      <c r="BQ18" s="15">
        <v>0</v>
      </c>
      <c r="BR18" s="15">
        <v>7200</v>
      </c>
      <c r="BS18" s="15">
        <v>0</v>
      </c>
      <c r="BT18" s="15">
        <v>0</v>
      </c>
      <c r="BU18" s="15">
        <v>15000</v>
      </c>
      <c r="BV18" s="15">
        <v>66000</v>
      </c>
      <c r="BW18" s="15">
        <v>0</v>
      </c>
      <c r="BX18" s="15">
        <v>7200</v>
      </c>
      <c r="BY18" s="15">
        <v>7200</v>
      </c>
      <c r="BZ18" s="15">
        <v>15000</v>
      </c>
      <c r="CA18" s="15">
        <v>7200</v>
      </c>
      <c r="CB18" s="15">
        <v>0</v>
      </c>
      <c r="CC18" s="15">
        <v>7200</v>
      </c>
      <c r="CD18" s="15">
        <v>0</v>
      </c>
      <c r="CE18" s="15">
        <v>7200</v>
      </c>
      <c r="CF18" s="15">
        <v>0</v>
      </c>
      <c r="CG18" s="15">
        <v>29000</v>
      </c>
      <c r="CH18" s="15">
        <v>15000</v>
      </c>
      <c r="CI18" s="15">
        <v>0</v>
      </c>
      <c r="CJ18" s="15">
        <v>0</v>
      </c>
      <c r="CK18" s="15">
        <v>15000</v>
      </c>
      <c r="CL18" s="15">
        <v>45000</v>
      </c>
      <c r="CM18" s="15">
        <v>44000</v>
      </c>
      <c r="CN18" s="15">
        <v>7200</v>
      </c>
      <c r="CO18" s="15">
        <v>7200</v>
      </c>
      <c r="CP18" s="15">
        <v>0</v>
      </c>
      <c r="CQ18" s="15">
        <v>7200</v>
      </c>
      <c r="CR18" s="15">
        <v>7200</v>
      </c>
      <c r="CS18" s="15">
        <v>7200</v>
      </c>
      <c r="CT18" s="15">
        <v>15000</v>
      </c>
      <c r="CU18" s="15">
        <v>7200</v>
      </c>
      <c r="CV18" s="15">
        <v>7200</v>
      </c>
      <c r="CW18" s="15">
        <v>7200</v>
      </c>
    </row>
    <row r="19" spans="1:101" x14ac:dyDescent="0.75">
      <c r="A19" s="22">
        <v>17</v>
      </c>
      <c r="B19" s="15">
        <v>19000</v>
      </c>
      <c r="C19" s="15">
        <v>66000</v>
      </c>
      <c r="D19" s="15">
        <v>7200</v>
      </c>
      <c r="E19" s="15">
        <v>15000</v>
      </c>
      <c r="F19" s="15">
        <v>28000</v>
      </c>
      <c r="G19" s="15">
        <v>39000</v>
      </c>
      <c r="H19" s="15">
        <v>80000</v>
      </c>
      <c r="I19" s="15">
        <v>7200</v>
      </c>
      <c r="J19" s="15">
        <v>62000</v>
      </c>
      <c r="K19" s="15">
        <v>25000</v>
      </c>
      <c r="L19" s="15">
        <v>0</v>
      </c>
      <c r="M19" s="15">
        <v>15000</v>
      </c>
      <c r="N19" s="15">
        <v>0</v>
      </c>
      <c r="O19" s="15">
        <v>15000</v>
      </c>
      <c r="P19" s="15">
        <v>14285.71</v>
      </c>
      <c r="Q19" s="15">
        <v>0</v>
      </c>
      <c r="R19" s="15">
        <v>19000</v>
      </c>
      <c r="S19" s="15">
        <v>32000</v>
      </c>
      <c r="T19" s="15">
        <v>0</v>
      </c>
      <c r="U19" s="15">
        <v>7200</v>
      </c>
      <c r="V19" s="15">
        <v>5000</v>
      </c>
      <c r="W19" s="15">
        <v>74000</v>
      </c>
      <c r="X19" s="15">
        <v>0</v>
      </c>
      <c r="Y19" s="15">
        <v>25000</v>
      </c>
      <c r="Z19" s="15">
        <v>30000</v>
      </c>
      <c r="AA19" s="15">
        <v>25000</v>
      </c>
      <c r="AB19" s="15">
        <v>15000</v>
      </c>
      <c r="AC19" s="15">
        <v>7200</v>
      </c>
      <c r="AD19" s="15">
        <v>30000</v>
      </c>
      <c r="AE19" s="15">
        <v>0</v>
      </c>
      <c r="AF19" s="15">
        <v>15000</v>
      </c>
      <c r="AG19" s="15">
        <v>0</v>
      </c>
      <c r="AH19" s="15">
        <v>15000</v>
      </c>
      <c r="AI19" s="15">
        <v>25000</v>
      </c>
      <c r="AJ19" s="15">
        <v>15000</v>
      </c>
      <c r="AK19" s="15">
        <v>15000</v>
      </c>
      <c r="AL19" s="15">
        <v>0</v>
      </c>
      <c r="AM19" s="15">
        <v>43000</v>
      </c>
      <c r="AN19" s="15">
        <v>7200</v>
      </c>
      <c r="AO19" s="15">
        <v>0</v>
      </c>
      <c r="AP19" s="15">
        <v>0</v>
      </c>
      <c r="AQ19" s="15">
        <v>25000</v>
      </c>
      <c r="AR19" s="15">
        <v>0</v>
      </c>
      <c r="AS19" s="15">
        <v>5000</v>
      </c>
      <c r="AT19" s="15">
        <v>66000</v>
      </c>
      <c r="AU19" s="15">
        <v>30000</v>
      </c>
      <c r="AV19" s="15">
        <v>0</v>
      </c>
      <c r="AW19" s="15">
        <v>34000</v>
      </c>
      <c r="AX19" s="15">
        <v>5555.56</v>
      </c>
      <c r="AY19" s="15">
        <v>0</v>
      </c>
      <c r="AZ19" s="15">
        <v>19000</v>
      </c>
      <c r="BA19" s="15">
        <v>7200</v>
      </c>
      <c r="BB19" s="15">
        <v>7200</v>
      </c>
      <c r="BC19" s="15">
        <v>0</v>
      </c>
      <c r="BD19" s="15">
        <v>72000</v>
      </c>
      <c r="BE19" s="15">
        <v>34000</v>
      </c>
      <c r="BF19" s="15">
        <v>7200</v>
      </c>
      <c r="BG19" s="15">
        <v>7200</v>
      </c>
      <c r="BH19" s="15">
        <v>71000</v>
      </c>
      <c r="BI19" s="15">
        <v>15000</v>
      </c>
      <c r="BJ19" s="15">
        <v>15000</v>
      </c>
      <c r="BK19" s="15">
        <v>0</v>
      </c>
      <c r="BL19" s="15">
        <v>69000</v>
      </c>
      <c r="BM19" s="15">
        <v>34000</v>
      </c>
      <c r="BN19" s="15">
        <v>15000</v>
      </c>
      <c r="BO19" s="15">
        <v>30000</v>
      </c>
      <c r="BP19" s="15">
        <v>36000</v>
      </c>
      <c r="BQ19" s="15">
        <v>25000</v>
      </c>
      <c r="BR19" s="15">
        <v>7200</v>
      </c>
      <c r="BS19" s="15">
        <v>0</v>
      </c>
      <c r="BT19" s="15">
        <v>0</v>
      </c>
      <c r="BU19" s="15">
        <v>15000</v>
      </c>
      <c r="BV19" s="15">
        <v>67000</v>
      </c>
      <c r="BW19" s="15">
        <v>0</v>
      </c>
      <c r="BX19" s="15">
        <v>7200</v>
      </c>
      <c r="BY19" s="15">
        <v>7200</v>
      </c>
      <c r="BZ19" s="15">
        <v>15000</v>
      </c>
      <c r="CA19" s="15">
        <v>7200</v>
      </c>
      <c r="CB19" s="15">
        <v>0</v>
      </c>
      <c r="CC19" s="15">
        <v>7200</v>
      </c>
      <c r="CD19" s="15">
        <v>30000</v>
      </c>
      <c r="CE19" s="15">
        <v>7200</v>
      </c>
      <c r="CF19" s="15">
        <v>0</v>
      </c>
      <c r="CG19" s="15">
        <v>30000</v>
      </c>
      <c r="CH19" s="15">
        <v>15000</v>
      </c>
      <c r="CI19" s="15">
        <v>0</v>
      </c>
      <c r="CJ19" s="15">
        <v>0</v>
      </c>
      <c r="CK19" s="15">
        <v>0</v>
      </c>
      <c r="CL19" s="15">
        <v>46000</v>
      </c>
      <c r="CM19" s="15">
        <v>45000</v>
      </c>
      <c r="CN19" s="15">
        <v>7200</v>
      </c>
      <c r="CO19" s="15">
        <v>7200</v>
      </c>
      <c r="CP19" s="15">
        <v>30000</v>
      </c>
      <c r="CQ19" s="15">
        <v>7200</v>
      </c>
      <c r="CR19" s="15">
        <v>7200</v>
      </c>
      <c r="CS19" s="15">
        <v>7200</v>
      </c>
      <c r="CT19" s="15">
        <v>15000</v>
      </c>
      <c r="CU19" s="15">
        <v>7200</v>
      </c>
      <c r="CV19" s="15">
        <v>7200</v>
      </c>
      <c r="CW19" s="15">
        <v>7200</v>
      </c>
    </row>
    <row r="20" spans="1:101" x14ac:dyDescent="0.75">
      <c r="A20" s="22">
        <v>18</v>
      </c>
      <c r="B20" s="15">
        <v>25000</v>
      </c>
      <c r="C20" s="15">
        <v>67000</v>
      </c>
      <c r="D20" s="15">
        <v>7200</v>
      </c>
      <c r="E20" s="15">
        <v>15000</v>
      </c>
      <c r="F20" s="15">
        <v>29000</v>
      </c>
      <c r="G20" s="15">
        <v>40000</v>
      </c>
      <c r="H20" s="15">
        <v>81000</v>
      </c>
      <c r="I20" s="15">
        <v>7200</v>
      </c>
      <c r="J20" s="15">
        <v>63000</v>
      </c>
      <c r="K20" s="15">
        <v>25000</v>
      </c>
      <c r="L20" s="15">
        <v>30000</v>
      </c>
      <c r="M20" s="15">
        <v>15000</v>
      </c>
      <c r="N20" s="15">
        <v>0</v>
      </c>
      <c r="O20" s="15">
        <v>15000</v>
      </c>
      <c r="P20" s="15">
        <v>14285.71</v>
      </c>
      <c r="Q20" s="15">
        <v>0</v>
      </c>
      <c r="R20" s="15">
        <v>19000</v>
      </c>
      <c r="S20" s="15">
        <v>33000</v>
      </c>
      <c r="T20" s="15">
        <v>0</v>
      </c>
      <c r="U20" s="15">
        <v>7200</v>
      </c>
      <c r="V20" s="15">
        <v>5000</v>
      </c>
      <c r="W20" s="15">
        <v>75000</v>
      </c>
      <c r="X20" s="15">
        <v>0</v>
      </c>
      <c r="Y20" s="15">
        <v>25000</v>
      </c>
      <c r="Z20" s="15">
        <v>0</v>
      </c>
      <c r="AA20" s="15">
        <v>25000</v>
      </c>
      <c r="AB20" s="15">
        <v>15000</v>
      </c>
      <c r="AC20" s="15">
        <v>7200</v>
      </c>
      <c r="AD20" s="15">
        <v>0</v>
      </c>
      <c r="AE20" s="15">
        <v>0</v>
      </c>
      <c r="AF20" s="15">
        <v>15000</v>
      </c>
      <c r="AG20" s="15">
        <v>0</v>
      </c>
      <c r="AH20" s="15">
        <v>15000</v>
      </c>
      <c r="AI20" s="15">
        <v>25000</v>
      </c>
      <c r="AJ20" s="15">
        <v>15000</v>
      </c>
      <c r="AK20" s="15">
        <v>15000</v>
      </c>
      <c r="AL20" s="15">
        <v>0</v>
      </c>
      <c r="AM20" s="15">
        <v>44000</v>
      </c>
      <c r="AN20" s="15">
        <v>7200</v>
      </c>
      <c r="AO20" s="15">
        <v>0</v>
      </c>
      <c r="AP20" s="15">
        <v>0</v>
      </c>
      <c r="AQ20" s="15">
        <v>26000</v>
      </c>
      <c r="AR20" s="15">
        <v>30000</v>
      </c>
      <c r="AS20" s="15">
        <v>5000</v>
      </c>
      <c r="AT20" s="15">
        <v>67000</v>
      </c>
      <c r="AU20" s="15">
        <v>0</v>
      </c>
      <c r="AV20" s="15">
        <v>0</v>
      </c>
      <c r="AW20" s="15">
        <v>35000</v>
      </c>
      <c r="AX20" s="15">
        <v>5555.56</v>
      </c>
      <c r="AY20" s="15">
        <v>0</v>
      </c>
      <c r="AZ20" s="15">
        <v>19000</v>
      </c>
      <c r="BA20" s="15">
        <v>7200</v>
      </c>
      <c r="BB20" s="15">
        <v>7200</v>
      </c>
      <c r="BC20" s="15">
        <v>0</v>
      </c>
      <c r="BD20" s="15">
        <v>73000</v>
      </c>
      <c r="BE20" s="15">
        <v>35000</v>
      </c>
      <c r="BF20" s="15">
        <v>7200</v>
      </c>
      <c r="BG20" s="15">
        <v>7200</v>
      </c>
      <c r="BH20" s="15">
        <v>72000</v>
      </c>
      <c r="BI20" s="15">
        <v>15000</v>
      </c>
      <c r="BJ20" s="15">
        <v>15000</v>
      </c>
      <c r="BK20" s="15">
        <v>30000</v>
      </c>
      <c r="BL20" s="15">
        <v>70000</v>
      </c>
      <c r="BM20" s="15">
        <v>35000</v>
      </c>
      <c r="BN20" s="15">
        <v>15000</v>
      </c>
      <c r="BO20" s="15">
        <v>0</v>
      </c>
      <c r="BP20" s="15">
        <v>37000</v>
      </c>
      <c r="BQ20" s="15">
        <v>26000</v>
      </c>
      <c r="BR20" s="15">
        <v>7200</v>
      </c>
      <c r="BS20" s="15">
        <v>0</v>
      </c>
      <c r="BT20" s="15">
        <v>0</v>
      </c>
      <c r="BU20" s="15">
        <v>0</v>
      </c>
      <c r="BV20" s="15">
        <v>68000</v>
      </c>
      <c r="BW20" s="15">
        <v>0</v>
      </c>
      <c r="BX20" s="15">
        <v>7200</v>
      </c>
      <c r="BY20" s="15">
        <v>7200</v>
      </c>
      <c r="BZ20" s="15">
        <v>15000</v>
      </c>
      <c r="CA20" s="15">
        <v>7200</v>
      </c>
      <c r="CB20" s="15">
        <v>0</v>
      </c>
      <c r="CC20" s="15">
        <v>7200</v>
      </c>
      <c r="CD20" s="15">
        <v>0</v>
      </c>
      <c r="CE20" s="15">
        <v>7200</v>
      </c>
      <c r="CF20" s="15">
        <v>0</v>
      </c>
      <c r="CG20" s="15">
        <v>31000</v>
      </c>
      <c r="CH20" s="15">
        <v>15000</v>
      </c>
      <c r="CI20" s="15">
        <v>0</v>
      </c>
      <c r="CJ20" s="15">
        <v>0</v>
      </c>
      <c r="CK20" s="15">
        <v>0</v>
      </c>
      <c r="CL20" s="15">
        <v>47000</v>
      </c>
      <c r="CM20" s="15">
        <v>46000</v>
      </c>
      <c r="CN20" s="15">
        <v>7200</v>
      </c>
      <c r="CO20" s="15">
        <v>7200</v>
      </c>
      <c r="CP20" s="15">
        <v>0</v>
      </c>
      <c r="CQ20" s="15">
        <v>7200</v>
      </c>
      <c r="CR20" s="15">
        <v>7200</v>
      </c>
      <c r="CS20" s="15">
        <v>7200</v>
      </c>
      <c r="CT20" s="15">
        <v>15000</v>
      </c>
      <c r="CU20" s="15">
        <v>7200</v>
      </c>
      <c r="CV20" s="15">
        <v>7200</v>
      </c>
      <c r="CW20" s="15">
        <v>7200</v>
      </c>
    </row>
    <row r="21" spans="1:101" x14ac:dyDescent="0.75">
      <c r="A21" s="22">
        <v>19</v>
      </c>
      <c r="B21" s="15">
        <v>25000</v>
      </c>
      <c r="C21" s="15">
        <v>68000</v>
      </c>
      <c r="D21" s="15">
        <v>7200</v>
      </c>
      <c r="E21" s="15">
        <v>15000</v>
      </c>
      <c r="F21" s="15">
        <v>30000</v>
      </c>
      <c r="G21" s="15">
        <v>41000</v>
      </c>
      <c r="H21" s="15">
        <v>82000</v>
      </c>
      <c r="I21" s="15">
        <v>7200</v>
      </c>
      <c r="J21" s="15">
        <v>64000</v>
      </c>
      <c r="K21" s="15">
        <v>25000</v>
      </c>
      <c r="L21" s="15">
        <v>0</v>
      </c>
      <c r="M21" s="15">
        <v>0</v>
      </c>
      <c r="N21" s="15">
        <v>0</v>
      </c>
      <c r="O21" s="15">
        <v>15000</v>
      </c>
      <c r="P21" s="15">
        <v>14285.71</v>
      </c>
      <c r="Q21" s="15">
        <v>0</v>
      </c>
      <c r="R21" s="15">
        <v>19000</v>
      </c>
      <c r="S21" s="15">
        <v>34000</v>
      </c>
      <c r="T21" s="15">
        <v>25000</v>
      </c>
      <c r="U21" s="15">
        <v>7200</v>
      </c>
      <c r="V21" s="15">
        <v>5000</v>
      </c>
      <c r="W21" s="15">
        <v>76000</v>
      </c>
      <c r="X21" s="15">
        <v>0</v>
      </c>
      <c r="Y21" s="15">
        <v>25000</v>
      </c>
      <c r="Z21" s="15">
        <v>30000</v>
      </c>
      <c r="AA21" s="15">
        <v>25000</v>
      </c>
      <c r="AB21" s="15">
        <v>15000</v>
      </c>
      <c r="AC21" s="15">
        <v>7200</v>
      </c>
      <c r="AD21" s="15">
        <v>30000</v>
      </c>
      <c r="AE21" s="15">
        <v>0</v>
      </c>
      <c r="AF21" s="15">
        <v>15000</v>
      </c>
      <c r="AG21" s="15">
        <v>0</v>
      </c>
      <c r="AH21" s="15">
        <v>15000</v>
      </c>
      <c r="AI21" s="15">
        <v>0</v>
      </c>
      <c r="AJ21" s="15">
        <v>15000</v>
      </c>
      <c r="AK21" s="15">
        <v>0</v>
      </c>
      <c r="AL21" s="15">
        <v>0</v>
      </c>
      <c r="AM21" s="15">
        <v>45000</v>
      </c>
      <c r="AN21" s="15">
        <v>7200</v>
      </c>
      <c r="AO21" s="15">
        <v>0</v>
      </c>
      <c r="AP21" s="15">
        <v>0</v>
      </c>
      <c r="AQ21" s="15">
        <v>27000</v>
      </c>
      <c r="AR21" s="15">
        <v>0</v>
      </c>
      <c r="AS21" s="15">
        <v>5000</v>
      </c>
      <c r="AT21" s="15">
        <v>68000</v>
      </c>
      <c r="AU21" s="15">
        <v>30000</v>
      </c>
      <c r="AV21" s="15">
        <v>0</v>
      </c>
      <c r="AW21" s="15">
        <v>36000</v>
      </c>
      <c r="AX21" s="15">
        <v>5555.56</v>
      </c>
      <c r="AY21" s="15">
        <v>0</v>
      </c>
      <c r="AZ21" s="15">
        <v>19000</v>
      </c>
      <c r="BA21" s="15">
        <v>7200</v>
      </c>
      <c r="BB21" s="15">
        <v>7200</v>
      </c>
      <c r="BC21" s="15">
        <v>0</v>
      </c>
      <c r="BD21" s="15">
        <v>74000</v>
      </c>
      <c r="BE21" s="15">
        <v>36000</v>
      </c>
      <c r="BF21" s="15">
        <v>7200</v>
      </c>
      <c r="BG21" s="15">
        <v>7200</v>
      </c>
      <c r="BH21" s="15">
        <v>73000</v>
      </c>
      <c r="BI21" s="15">
        <v>15000</v>
      </c>
      <c r="BJ21" s="15">
        <v>15000</v>
      </c>
      <c r="BK21" s="15">
        <v>0</v>
      </c>
      <c r="BL21" s="15">
        <v>71000</v>
      </c>
      <c r="BM21" s="15">
        <v>36000</v>
      </c>
      <c r="BN21" s="15">
        <v>15000</v>
      </c>
      <c r="BO21" s="15">
        <v>0</v>
      </c>
      <c r="BP21" s="15">
        <v>38000</v>
      </c>
      <c r="BQ21" s="15">
        <v>27000</v>
      </c>
      <c r="BR21" s="15">
        <v>7200</v>
      </c>
      <c r="BS21" s="15">
        <v>0</v>
      </c>
      <c r="BT21" s="15">
        <v>0</v>
      </c>
      <c r="BU21" s="15">
        <v>0</v>
      </c>
      <c r="BV21" s="15">
        <v>69000</v>
      </c>
      <c r="BW21" s="15">
        <v>0</v>
      </c>
      <c r="BX21" s="15">
        <v>7200</v>
      </c>
      <c r="BY21" s="15">
        <v>7200</v>
      </c>
      <c r="BZ21" s="15">
        <v>15000</v>
      </c>
      <c r="CA21" s="15">
        <v>7200</v>
      </c>
      <c r="CB21" s="15">
        <v>0</v>
      </c>
      <c r="CC21" s="15">
        <v>7200</v>
      </c>
      <c r="CD21" s="15">
        <v>30000</v>
      </c>
      <c r="CE21" s="15">
        <v>7200</v>
      </c>
      <c r="CF21" s="15">
        <v>0</v>
      </c>
      <c r="CG21" s="15">
        <v>32000</v>
      </c>
      <c r="CH21" s="15">
        <v>15000</v>
      </c>
      <c r="CI21" s="15">
        <v>0</v>
      </c>
      <c r="CJ21" s="15">
        <v>0</v>
      </c>
      <c r="CK21" s="15">
        <v>0</v>
      </c>
      <c r="CL21" s="15">
        <v>48000</v>
      </c>
      <c r="CM21" s="15">
        <v>47000</v>
      </c>
      <c r="CN21" s="15">
        <v>7200</v>
      </c>
      <c r="CO21" s="15">
        <v>7200</v>
      </c>
      <c r="CP21" s="15">
        <v>30000</v>
      </c>
      <c r="CQ21" s="15">
        <v>7200</v>
      </c>
      <c r="CR21" s="15">
        <v>7200</v>
      </c>
      <c r="CS21" s="15">
        <v>7200</v>
      </c>
      <c r="CT21" s="15">
        <v>15000</v>
      </c>
      <c r="CU21" s="15">
        <v>7200</v>
      </c>
      <c r="CV21" s="15">
        <v>7200</v>
      </c>
      <c r="CW21" s="15">
        <v>7200</v>
      </c>
    </row>
    <row r="22" spans="1:101" x14ac:dyDescent="0.75">
      <c r="A22" s="22">
        <v>20</v>
      </c>
      <c r="B22" s="15">
        <v>25000</v>
      </c>
      <c r="C22" s="15">
        <v>69000</v>
      </c>
      <c r="D22" s="15">
        <v>7200</v>
      </c>
      <c r="E22" s="15">
        <v>15000</v>
      </c>
      <c r="F22" s="15">
        <v>31000</v>
      </c>
      <c r="G22" s="15">
        <v>42000</v>
      </c>
      <c r="H22" s="15">
        <v>83000</v>
      </c>
      <c r="I22" s="15">
        <v>7200</v>
      </c>
      <c r="J22" s="15">
        <v>65000</v>
      </c>
      <c r="K22" s="15">
        <v>25000</v>
      </c>
      <c r="L22" s="15">
        <v>30000</v>
      </c>
      <c r="M22" s="15">
        <v>0</v>
      </c>
      <c r="N22" s="15">
        <v>0</v>
      </c>
      <c r="O22" s="15">
        <v>15000</v>
      </c>
      <c r="P22" s="15">
        <v>14285.71</v>
      </c>
      <c r="Q22" s="15">
        <v>0</v>
      </c>
      <c r="R22" s="15">
        <v>25000</v>
      </c>
      <c r="S22" s="15">
        <v>35000</v>
      </c>
      <c r="T22" s="15">
        <v>26000</v>
      </c>
      <c r="U22" s="15">
        <v>7200</v>
      </c>
      <c r="V22" s="15">
        <v>5000</v>
      </c>
      <c r="W22" s="15">
        <v>77000</v>
      </c>
      <c r="X22" s="15">
        <v>0</v>
      </c>
      <c r="Y22" s="15">
        <v>25000</v>
      </c>
      <c r="Z22" s="15">
        <v>0</v>
      </c>
      <c r="AA22" s="15">
        <v>25000</v>
      </c>
      <c r="AB22" s="15">
        <v>15000</v>
      </c>
      <c r="AC22" s="15">
        <v>7200</v>
      </c>
      <c r="AD22" s="15">
        <v>0</v>
      </c>
      <c r="AE22" s="15">
        <v>0</v>
      </c>
      <c r="AF22" s="15">
        <v>0</v>
      </c>
      <c r="AG22" s="15">
        <v>0</v>
      </c>
      <c r="AH22" s="15">
        <v>15000</v>
      </c>
      <c r="AI22" s="15">
        <v>0</v>
      </c>
      <c r="AJ22" s="15">
        <v>15000</v>
      </c>
      <c r="AK22" s="15">
        <v>0</v>
      </c>
      <c r="AL22" s="15">
        <v>0</v>
      </c>
      <c r="AM22" s="15">
        <v>46000</v>
      </c>
      <c r="AN22" s="15">
        <v>7200</v>
      </c>
      <c r="AO22" s="15">
        <v>0</v>
      </c>
      <c r="AP22" s="15">
        <v>0</v>
      </c>
      <c r="AQ22" s="15">
        <v>28000</v>
      </c>
      <c r="AR22" s="15">
        <v>30000</v>
      </c>
      <c r="AS22" s="15">
        <v>5000</v>
      </c>
      <c r="AT22" s="15">
        <v>69000</v>
      </c>
      <c r="AU22" s="15">
        <v>0</v>
      </c>
      <c r="AV22" s="15">
        <v>0</v>
      </c>
      <c r="AW22" s="15">
        <v>37000</v>
      </c>
      <c r="AX22" s="15">
        <v>5555.56</v>
      </c>
      <c r="AY22" s="15">
        <v>0</v>
      </c>
      <c r="AZ22" s="15">
        <v>19000</v>
      </c>
      <c r="BA22" s="15">
        <v>7200</v>
      </c>
      <c r="BB22" s="15">
        <v>7200</v>
      </c>
      <c r="BC22" s="15">
        <v>0</v>
      </c>
      <c r="BD22" s="15">
        <v>75000</v>
      </c>
      <c r="BE22" s="15">
        <v>37000</v>
      </c>
      <c r="BF22" s="15">
        <v>7200</v>
      </c>
      <c r="BG22" s="15">
        <v>7200</v>
      </c>
      <c r="BH22" s="15">
        <v>74000</v>
      </c>
      <c r="BI22" s="15">
        <v>15000</v>
      </c>
      <c r="BJ22" s="15">
        <v>15000</v>
      </c>
      <c r="BK22" s="15">
        <v>30000</v>
      </c>
      <c r="BL22" s="15">
        <v>72000</v>
      </c>
      <c r="BM22" s="15">
        <v>37000</v>
      </c>
      <c r="BN22" s="15">
        <v>15000</v>
      </c>
      <c r="BO22" s="15">
        <v>0</v>
      </c>
      <c r="BP22" s="15">
        <v>39000</v>
      </c>
      <c r="BQ22" s="15">
        <v>28000</v>
      </c>
      <c r="BR22" s="15">
        <v>7200</v>
      </c>
      <c r="BS22" s="15">
        <v>0</v>
      </c>
      <c r="BT22" s="15">
        <v>0</v>
      </c>
      <c r="BU22" s="15">
        <v>0</v>
      </c>
      <c r="BV22" s="15">
        <v>70000</v>
      </c>
      <c r="BW22" s="15">
        <v>0</v>
      </c>
      <c r="BX22" s="15">
        <v>7200</v>
      </c>
      <c r="BY22" s="15">
        <v>7200</v>
      </c>
      <c r="BZ22" s="15">
        <v>15000</v>
      </c>
      <c r="CA22" s="15">
        <v>7200</v>
      </c>
      <c r="CB22" s="15">
        <v>25000</v>
      </c>
      <c r="CC22" s="15">
        <v>7200</v>
      </c>
      <c r="CD22" s="15">
        <v>0</v>
      </c>
      <c r="CE22" s="15">
        <v>7200</v>
      </c>
      <c r="CF22" s="15">
        <v>0</v>
      </c>
      <c r="CG22" s="15">
        <v>33000</v>
      </c>
      <c r="CH22" s="15">
        <v>0</v>
      </c>
      <c r="CI22" s="15">
        <v>0</v>
      </c>
      <c r="CJ22" s="15">
        <v>0</v>
      </c>
      <c r="CK22" s="15">
        <v>0</v>
      </c>
      <c r="CL22" s="15">
        <v>49000</v>
      </c>
      <c r="CM22" s="15">
        <v>48000</v>
      </c>
      <c r="CN22" s="15">
        <v>7200</v>
      </c>
      <c r="CO22" s="15">
        <v>7200</v>
      </c>
      <c r="CP22" s="15">
        <v>0</v>
      </c>
      <c r="CQ22" s="15">
        <v>7200</v>
      </c>
      <c r="CR22" s="15">
        <v>7200</v>
      </c>
      <c r="CS22" s="15">
        <v>7200</v>
      </c>
      <c r="CT22" s="15">
        <v>15000</v>
      </c>
      <c r="CU22" s="15">
        <v>7200</v>
      </c>
      <c r="CV22" s="15">
        <v>7200</v>
      </c>
      <c r="CW22" s="15">
        <v>7200</v>
      </c>
    </row>
    <row r="23" spans="1:101" x14ac:dyDescent="0.75">
      <c r="A23" s="22">
        <v>21</v>
      </c>
      <c r="B23" s="15">
        <v>25000</v>
      </c>
      <c r="C23" s="15">
        <v>70000</v>
      </c>
      <c r="D23" s="15">
        <v>7200</v>
      </c>
      <c r="E23" s="15">
        <v>15000</v>
      </c>
      <c r="F23" s="15">
        <v>32000</v>
      </c>
      <c r="G23" s="15">
        <v>43000</v>
      </c>
      <c r="H23" s="15">
        <v>84000</v>
      </c>
      <c r="I23" s="15">
        <v>7200</v>
      </c>
      <c r="J23" s="15">
        <v>66000</v>
      </c>
      <c r="K23" s="15">
        <v>25000</v>
      </c>
      <c r="L23" s="15">
        <v>0</v>
      </c>
      <c r="M23" s="15">
        <v>0</v>
      </c>
      <c r="N23" s="15">
        <v>0</v>
      </c>
      <c r="O23" s="15">
        <v>15000</v>
      </c>
      <c r="P23" s="15">
        <v>14285.71</v>
      </c>
      <c r="Q23" s="15">
        <v>0</v>
      </c>
      <c r="R23" s="15">
        <v>25000</v>
      </c>
      <c r="S23" s="15">
        <v>36000</v>
      </c>
      <c r="T23" s="15">
        <v>27000</v>
      </c>
      <c r="U23" s="15">
        <v>7200</v>
      </c>
      <c r="V23" s="15">
        <v>5000</v>
      </c>
      <c r="W23" s="15">
        <v>78000</v>
      </c>
      <c r="X23" s="15">
        <v>0</v>
      </c>
      <c r="Y23" s="15">
        <v>0</v>
      </c>
      <c r="Z23" s="15">
        <v>0</v>
      </c>
      <c r="AA23" s="15">
        <v>25000</v>
      </c>
      <c r="AB23" s="15">
        <v>15000</v>
      </c>
      <c r="AC23" s="15">
        <v>7200</v>
      </c>
      <c r="AD23" s="15">
        <v>0</v>
      </c>
      <c r="AE23" s="15">
        <v>0</v>
      </c>
      <c r="AF23" s="15">
        <v>0</v>
      </c>
      <c r="AG23" s="15">
        <v>0</v>
      </c>
      <c r="AH23" s="15">
        <v>0</v>
      </c>
      <c r="AI23" s="15">
        <v>0</v>
      </c>
      <c r="AJ23" s="15">
        <v>15000</v>
      </c>
      <c r="AK23" s="15">
        <v>0</v>
      </c>
      <c r="AL23" s="15">
        <v>0</v>
      </c>
      <c r="AM23" s="15">
        <v>47000</v>
      </c>
      <c r="AN23" s="15">
        <v>7200</v>
      </c>
      <c r="AO23" s="15">
        <v>0</v>
      </c>
      <c r="AP23" s="15">
        <v>0</v>
      </c>
      <c r="AQ23" s="15">
        <v>29000</v>
      </c>
      <c r="AR23" s="15">
        <v>0</v>
      </c>
      <c r="AS23" s="15">
        <v>5000</v>
      </c>
      <c r="AT23" s="15">
        <v>70000</v>
      </c>
      <c r="AU23" s="15">
        <v>30000</v>
      </c>
      <c r="AV23" s="15">
        <v>0</v>
      </c>
      <c r="AW23" s="15">
        <v>38000</v>
      </c>
      <c r="AX23" s="15">
        <v>5555.56</v>
      </c>
      <c r="AY23" s="15">
        <v>0</v>
      </c>
      <c r="AZ23" s="15">
        <v>19000</v>
      </c>
      <c r="BA23" s="15">
        <v>7200</v>
      </c>
      <c r="BB23" s="15">
        <v>7200</v>
      </c>
      <c r="BC23" s="15">
        <v>0</v>
      </c>
      <c r="BD23" s="15">
        <v>76000</v>
      </c>
      <c r="BE23" s="15">
        <v>38000</v>
      </c>
      <c r="BF23" s="15">
        <v>7200</v>
      </c>
      <c r="BG23" s="15">
        <v>7200</v>
      </c>
      <c r="BH23" s="15">
        <v>75000</v>
      </c>
      <c r="BI23" s="15">
        <v>15000</v>
      </c>
      <c r="BJ23" s="15">
        <v>15000</v>
      </c>
      <c r="BK23" s="15">
        <v>0</v>
      </c>
      <c r="BL23" s="15">
        <v>73000</v>
      </c>
      <c r="BM23" s="15">
        <v>38000</v>
      </c>
      <c r="BN23" s="15">
        <v>15000</v>
      </c>
      <c r="BO23" s="15">
        <v>0</v>
      </c>
      <c r="BP23" s="15">
        <v>40000</v>
      </c>
      <c r="BQ23" s="15">
        <v>29000</v>
      </c>
      <c r="BR23" s="15">
        <v>7200</v>
      </c>
      <c r="BS23" s="15">
        <v>0</v>
      </c>
      <c r="BT23" s="15">
        <v>0</v>
      </c>
      <c r="BU23" s="15">
        <v>0</v>
      </c>
      <c r="BV23" s="15">
        <v>71000</v>
      </c>
      <c r="BW23" s="15">
        <v>0</v>
      </c>
      <c r="BX23" s="15">
        <v>7200</v>
      </c>
      <c r="BY23" s="15">
        <v>7200</v>
      </c>
      <c r="BZ23" s="15">
        <v>15000</v>
      </c>
      <c r="CA23" s="15">
        <v>7200</v>
      </c>
      <c r="CB23" s="15">
        <v>26000</v>
      </c>
      <c r="CC23" s="15">
        <v>7200</v>
      </c>
      <c r="CD23" s="15">
        <v>30000</v>
      </c>
      <c r="CE23" s="15">
        <v>7200</v>
      </c>
      <c r="CF23" s="15">
        <v>0</v>
      </c>
      <c r="CG23" s="15">
        <v>34000</v>
      </c>
      <c r="CH23" s="15">
        <v>0</v>
      </c>
      <c r="CI23" s="15">
        <v>0</v>
      </c>
      <c r="CJ23" s="15">
        <v>0</v>
      </c>
      <c r="CK23" s="15">
        <v>0</v>
      </c>
      <c r="CL23" s="15">
        <v>50000</v>
      </c>
      <c r="CM23" s="15">
        <v>49000</v>
      </c>
      <c r="CN23" s="15">
        <v>7200</v>
      </c>
      <c r="CO23" s="15">
        <v>7200</v>
      </c>
      <c r="CP23" s="15">
        <v>30000</v>
      </c>
      <c r="CQ23" s="15">
        <v>7200</v>
      </c>
      <c r="CR23" s="15">
        <v>7200</v>
      </c>
      <c r="CS23" s="15">
        <v>7200</v>
      </c>
      <c r="CT23" s="15">
        <v>15000</v>
      </c>
      <c r="CU23" s="15">
        <v>7200</v>
      </c>
      <c r="CV23" s="15">
        <v>7200</v>
      </c>
      <c r="CW23" s="15">
        <v>7200</v>
      </c>
    </row>
    <row r="24" spans="1:101" x14ac:dyDescent="0.75">
      <c r="A24" s="22">
        <v>22</v>
      </c>
      <c r="B24" s="15">
        <v>25000</v>
      </c>
      <c r="C24" s="15">
        <v>71000</v>
      </c>
      <c r="D24" s="15">
        <v>7200</v>
      </c>
      <c r="E24" s="15">
        <v>0</v>
      </c>
      <c r="F24" s="15">
        <v>33000</v>
      </c>
      <c r="G24" s="15">
        <v>44000</v>
      </c>
      <c r="H24" s="15">
        <v>85000</v>
      </c>
      <c r="I24" s="15">
        <v>7200</v>
      </c>
      <c r="J24" s="15">
        <v>67000</v>
      </c>
      <c r="K24" s="15">
        <v>25000</v>
      </c>
      <c r="L24" s="15">
        <v>30000</v>
      </c>
      <c r="M24" s="15">
        <v>0</v>
      </c>
      <c r="N24" s="15">
        <v>0</v>
      </c>
      <c r="O24" s="15">
        <v>15000</v>
      </c>
      <c r="P24" s="15">
        <v>0</v>
      </c>
      <c r="Q24" s="15">
        <v>0</v>
      </c>
      <c r="R24" s="15">
        <v>25000</v>
      </c>
      <c r="S24" s="15">
        <v>37000</v>
      </c>
      <c r="T24" s="15">
        <v>28000</v>
      </c>
      <c r="U24" s="15">
        <v>7200</v>
      </c>
      <c r="V24" s="15">
        <v>5000</v>
      </c>
      <c r="W24" s="15">
        <v>79000</v>
      </c>
      <c r="X24" s="15">
        <v>0</v>
      </c>
      <c r="Y24" s="15">
        <v>0</v>
      </c>
      <c r="Z24" s="15">
        <v>0</v>
      </c>
      <c r="AA24" s="15">
        <v>25000</v>
      </c>
      <c r="AB24" s="15">
        <v>15000</v>
      </c>
      <c r="AC24" s="15">
        <v>7200</v>
      </c>
      <c r="AD24" s="15">
        <v>0</v>
      </c>
      <c r="AE24" s="15">
        <v>0</v>
      </c>
      <c r="AF24" s="15">
        <v>0</v>
      </c>
      <c r="AG24" s="15">
        <v>0</v>
      </c>
      <c r="AH24" s="15">
        <v>0</v>
      </c>
      <c r="AI24" s="15">
        <v>0</v>
      </c>
      <c r="AJ24" s="15">
        <v>15000</v>
      </c>
      <c r="AK24" s="15">
        <v>0</v>
      </c>
      <c r="AL24" s="15">
        <v>0</v>
      </c>
      <c r="AM24" s="15">
        <v>48000</v>
      </c>
      <c r="AN24" s="15">
        <v>7200</v>
      </c>
      <c r="AO24" s="15">
        <v>0</v>
      </c>
      <c r="AP24" s="15">
        <v>0</v>
      </c>
      <c r="AQ24" s="15">
        <v>30000</v>
      </c>
      <c r="AR24" s="15">
        <v>0</v>
      </c>
      <c r="AS24" s="15">
        <v>5000</v>
      </c>
      <c r="AT24" s="15">
        <v>71000</v>
      </c>
      <c r="AU24" s="15">
        <v>0</v>
      </c>
      <c r="AV24" s="15">
        <v>0</v>
      </c>
      <c r="AW24" s="15">
        <v>39000</v>
      </c>
      <c r="AX24" s="15">
        <v>5555.56</v>
      </c>
      <c r="AY24" s="15">
        <v>0</v>
      </c>
      <c r="AZ24" s="15">
        <v>19000</v>
      </c>
      <c r="BA24" s="15">
        <v>7200</v>
      </c>
      <c r="BB24" s="15">
        <v>7200</v>
      </c>
      <c r="BC24" s="15">
        <v>0</v>
      </c>
      <c r="BD24" s="15">
        <v>77000</v>
      </c>
      <c r="BE24" s="15">
        <v>39000</v>
      </c>
      <c r="BF24" s="15">
        <v>7200</v>
      </c>
      <c r="BG24" s="15">
        <v>7200</v>
      </c>
      <c r="BH24" s="15">
        <v>76000</v>
      </c>
      <c r="BI24" s="15">
        <v>15000</v>
      </c>
      <c r="BJ24" s="15">
        <v>15000</v>
      </c>
      <c r="BK24" s="15">
        <v>30000</v>
      </c>
      <c r="BL24" s="15">
        <v>74000</v>
      </c>
      <c r="BM24" s="15">
        <v>39000</v>
      </c>
      <c r="BN24" s="15">
        <v>15000</v>
      </c>
      <c r="BO24" s="15">
        <v>0</v>
      </c>
      <c r="BP24" s="15">
        <v>41000</v>
      </c>
      <c r="BQ24" s="15">
        <v>30000</v>
      </c>
      <c r="BR24" s="15">
        <v>7200</v>
      </c>
      <c r="BS24" s="15">
        <v>0</v>
      </c>
      <c r="BT24" s="15">
        <v>0</v>
      </c>
      <c r="BU24" s="15">
        <v>0</v>
      </c>
      <c r="BV24" s="15">
        <v>72000</v>
      </c>
      <c r="BW24" s="15">
        <v>0</v>
      </c>
      <c r="BX24" s="15">
        <v>7200</v>
      </c>
      <c r="BY24" s="15">
        <v>7200</v>
      </c>
      <c r="BZ24" s="15">
        <v>0</v>
      </c>
      <c r="CA24" s="15">
        <v>7200</v>
      </c>
      <c r="CB24" s="15">
        <v>27000</v>
      </c>
      <c r="CC24" s="15">
        <v>7200</v>
      </c>
      <c r="CD24" s="15">
        <v>0</v>
      </c>
      <c r="CE24" s="15">
        <v>7200</v>
      </c>
      <c r="CF24" s="15">
        <v>0</v>
      </c>
      <c r="CG24" s="15">
        <v>35000</v>
      </c>
      <c r="CH24" s="15">
        <v>0</v>
      </c>
      <c r="CI24" s="15">
        <v>0</v>
      </c>
      <c r="CJ24" s="15">
        <v>0</v>
      </c>
      <c r="CK24" s="15">
        <v>0</v>
      </c>
      <c r="CL24" s="15">
        <v>51000</v>
      </c>
      <c r="CM24" s="15">
        <v>50000</v>
      </c>
      <c r="CN24" s="15">
        <v>7200</v>
      </c>
      <c r="CO24" s="15">
        <v>7200</v>
      </c>
      <c r="CP24" s="15">
        <v>0</v>
      </c>
      <c r="CQ24" s="15">
        <v>7200</v>
      </c>
      <c r="CR24" s="15">
        <v>7200</v>
      </c>
      <c r="CS24" s="15">
        <v>7200</v>
      </c>
      <c r="CT24" s="15">
        <v>15000</v>
      </c>
      <c r="CU24" s="15">
        <v>7200</v>
      </c>
      <c r="CV24" s="15">
        <v>7200</v>
      </c>
      <c r="CW24" s="15">
        <v>7200</v>
      </c>
    </row>
    <row r="25" spans="1:101" x14ac:dyDescent="0.75">
      <c r="A25" s="22">
        <v>23</v>
      </c>
      <c r="B25" s="15">
        <v>25000</v>
      </c>
      <c r="C25" s="15">
        <v>72000</v>
      </c>
      <c r="D25" s="15">
        <v>7200</v>
      </c>
      <c r="E25" s="15">
        <v>0</v>
      </c>
      <c r="F25" s="15">
        <v>34000</v>
      </c>
      <c r="G25" s="15">
        <v>45000</v>
      </c>
      <c r="H25" s="15">
        <v>86000</v>
      </c>
      <c r="I25" s="15">
        <v>7200</v>
      </c>
      <c r="J25" s="15">
        <v>68000</v>
      </c>
      <c r="K25" s="15">
        <v>25000</v>
      </c>
      <c r="L25" s="15">
        <v>0</v>
      </c>
      <c r="M25" s="15">
        <v>0</v>
      </c>
      <c r="N25" s="15">
        <v>0</v>
      </c>
      <c r="O25" s="15">
        <v>15000</v>
      </c>
      <c r="P25" s="15">
        <v>0</v>
      </c>
      <c r="Q25" s="15">
        <v>0</v>
      </c>
      <c r="R25" s="15">
        <v>25000</v>
      </c>
      <c r="S25" s="15">
        <v>38000</v>
      </c>
      <c r="T25" s="15">
        <v>29000</v>
      </c>
      <c r="U25" s="15">
        <v>7200</v>
      </c>
      <c r="V25" s="15">
        <v>5000</v>
      </c>
      <c r="W25" s="15">
        <v>80000</v>
      </c>
      <c r="X25" s="15">
        <v>0</v>
      </c>
      <c r="Y25" s="15">
        <v>0</v>
      </c>
      <c r="Z25" s="15">
        <v>0</v>
      </c>
      <c r="AA25" s="15">
        <v>25000</v>
      </c>
      <c r="AB25" s="15">
        <v>15000</v>
      </c>
      <c r="AC25" s="15">
        <v>7200</v>
      </c>
      <c r="AD25" s="15">
        <v>0</v>
      </c>
      <c r="AE25" s="15">
        <v>0</v>
      </c>
      <c r="AF25" s="15">
        <v>0</v>
      </c>
      <c r="AG25" s="15">
        <v>0</v>
      </c>
      <c r="AH25" s="15">
        <v>0</v>
      </c>
      <c r="AI25" s="15">
        <v>0</v>
      </c>
      <c r="AJ25" s="15">
        <v>15000</v>
      </c>
      <c r="AK25" s="15">
        <v>0</v>
      </c>
      <c r="AL25" s="15">
        <v>0</v>
      </c>
      <c r="AM25" s="15">
        <v>49000</v>
      </c>
      <c r="AN25" s="15">
        <v>7200</v>
      </c>
      <c r="AO25" s="15">
        <v>0</v>
      </c>
      <c r="AP25" s="15">
        <v>0</v>
      </c>
      <c r="AQ25" s="15">
        <v>31000</v>
      </c>
      <c r="AR25" s="15">
        <v>0</v>
      </c>
      <c r="AS25" s="15">
        <v>5000</v>
      </c>
      <c r="AT25" s="15">
        <v>72000</v>
      </c>
      <c r="AU25" s="15">
        <v>30000</v>
      </c>
      <c r="AV25" s="15">
        <v>0</v>
      </c>
      <c r="AW25" s="15">
        <v>40000</v>
      </c>
      <c r="AX25" s="15">
        <v>5555.56</v>
      </c>
      <c r="AY25" s="15">
        <v>0</v>
      </c>
      <c r="AZ25" s="15">
        <v>25000</v>
      </c>
      <c r="BA25" s="15">
        <v>7200</v>
      </c>
      <c r="BB25" s="15">
        <v>7200</v>
      </c>
      <c r="BC25" s="15">
        <v>0</v>
      </c>
      <c r="BD25" s="15">
        <v>78000</v>
      </c>
      <c r="BE25" s="15">
        <v>40000</v>
      </c>
      <c r="BF25" s="15">
        <v>7200</v>
      </c>
      <c r="BG25" s="15">
        <v>7200</v>
      </c>
      <c r="BH25" s="15">
        <v>77000</v>
      </c>
      <c r="BI25" s="15">
        <v>0</v>
      </c>
      <c r="BJ25" s="15">
        <v>15000</v>
      </c>
      <c r="BK25" s="15">
        <v>0</v>
      </c>
      <c r="BL25" s="15">
        <v>75000</v>
      </c>
      <c r="BM25" s="15">
        <v>40000</v>
      </c>
      <c r="BN25" s="15">
        <v>15000</v>
      </c>
      <c r="BO25" s="15">
        <v>0</v>
      </c>
      <c r="BP25" s="15">
        <v>42000</v>
      </c>
      <c r="BQ25" s="15">
        <v>31000</v>
      </c>
      <c r="BR25" s="15">
        <v>7200</v>
      </c>
      <c r="BS25" s="15">
        <v>0</v>
      </c>
      <c r="BT25" s="15">
        <v>0</v>
      </c>
      <c r="BU25" s="15">
        <v>0</v>
      </c>
      <c r="BV25" s="15">
        <v>73000</v>
      </c>
      <c r="BW25" s="15">
        <v>0</v>
      </c>
      <c r="BX25" s="15">
        <v>7200</v>
      </c>
      <c r="BY25" s="15">
        <v>7200</v>
      </c>
      <c r="BZ25" s="15">
        <v>0</v>
      </c>
      <c r="CA25" s="15">
        <v>7200</v>
      </c>
      <c r="CB25" s="15">
        <v>28000</v>
      </c>
      <c r="CC25" s="15">
        <v>7200</v>
      </c>
      <c r="CD25" s="15">
        <v>30000</v>
      </c>
      <c r="CE25" s="15">
        <v>7200</v>
      </c>
      <c r="CF25" s="15">
        <v>0</v>
      </c>
      <c r="CG25" s="15">
        <v>36000</v>
      </c>
      <c r="CH25" s="15">
        <v>0</v>
      </c>
      <c r="CI25" s="15">
        <v>0</v>
      </c>
      <c r="CJ25" s="15">
        <v>0</v>
      </c>
      <c r="CK25" s="15">
        <v>0</v>
      </c>
      <c r="CL25" s="15">
        <v>52000</v>
      </c>
      <c r="CM25" s="15">
        <v>51000</v>
      </c>
      <c r="CN25" s="15">
        <v>7200</v>
      </c>
      <c r="CO25" s="15">
        <v>7200</v>
      </c>
      <c r="CP25" s="15">
        <v>30000</v>
      </c>
      <c r="CQ25" s="15">
        <v>7200</v>
      </c>
      <c r="CR25" s="15">
        <v>7200</v>
      </c>
      <c r="CS25" s="15">
        <v>7200</v>
      </c>
      <c r="CT25" s="15">
        <v>15000</v>
      </c>
      <c r="CU25" s="15">
        <v>7200</v>
      </c>
      <c r="CV25" s="15">
        <v>7200</v>
      </c>
      <c r="CW25" s="15">
        <v>7200</v>
      </c>
    </row>
    <row r="26" spans="1:101" x14ac:dyDescent="0.75">
      <c r="A26" s="22">
        <v>24</v>
      </c>
      <c r="B26" s="15">
        <v>25000</v>
      </c>
      <c r="C26" s="15">
        <v>73000</v>
      </c>
      <c r="D26" s="15">
        <v>7200</v>
      </c>
      <c r="E26" s="15">
        <v>0</v>
      </c>
      <c r="F26" s="15">
        <v>35000</v>
      </c>
      <c r="G26" s="15">
        <v>46000</v>
      </c>
      <c r="H26" s="15">
        <v>87000</v>
      </c>
      <c r="I26" s="15">
        <v>7200</v>
      </c>
      <c r="J26" s="15">
        <v>69000</v>
      </c>
      <c r="K26" s="15">
        <v>25000</v>
      </c>
      <c r="L26" s="15">
        <v>30000</v>
      </c>
      <c r="M26" s="15">
        <v>0</v>
      </c>
      <c r="N26" s="15">
        <v>0</v>
      </c>
      <c r="O26" s="15">
        <v>15000</v>
      </c>
      <c r="P26" s="15">
        <v>0</v>
      </c>
      <c r="Q26" s="15">
        <v>0</v>
      </c>
      <c r="R26" s="15">
        <v>25000</v>
      </c>
      <c r="S26" s="15">
        <v>39000</v>
      </c>
      <c r="T26" s="15">
        <v>30000</v>
      </c>
      <c r="U26" s="15">
        <v>7200</v>
      </c>
      <c r="V26" s="15">
        <v>5000</v>
      </c>
      <c r="W26" s="15">
        <v>81000</v>
      </c>
      <c r="X26" s="15">
        <v>0</v>
      </c>
      <c r="Y26" s="15">
        <v>0</v>
      </c>
      <c r="Z26" s="15">
        <v>0</v>
      </c>
      <c r="AA26" s="15">
        <v>0</v>
      </c>
      <c r="AB26" s="15">
        <v>15000</v>
      </c>
      <c r="AC26" s="15">
        <v>7200</v>
      </c>
      <c r="AD26" s="15">
        <v>0</v>
      </c>
      <c r="AE26" s="15">
        <v>0</v>
      </c>
      <c r="AF26" s="15">
        <v>0</v>
      </c>
      <c r="AG26" s="15">
        <v>0</v>
      </c>
      <c r="AH26" s="15">
        <v>0</v>
      </c>
      <c r="AI26" s="15">
        <v>0</v>
      </c>
      <c r="AJ26" s="15">
        <v>15000</v>
      </c>
      <c r="AK26" s="15">
        <v>0</v>
      </c>
      <c r="AL26" s="15">
        <v>25000</v>
      </c>
      <c r="AM26" s="15">
        <v>50000</v>
      </c>
      <c r="AN26" s="15">
        <v>7200</v>
      </c>
      <c r="AO26" s="15">
        <v>0</v>
      </c>
      <c r="AP26" s="15">
        <v>0</v>
      </c>
      <c r="AQ26" s="15">
        <v>32000</v>
      </c>
      <c r="AR26" s="15">
        <v>0</v>
      </c>
      <c r="AS26" s="15">
        <v>5000</v>
      </c>
      <c r="AT26" s="15">
        <v>73000</v>
      </c>
      <c r="AU26" s="15">
        <v>0</v>
      </c>
      <c r="AV26" s="15">
        <v>0</v>
      </c>
      <c r="AW26" s="15">
        <v>41000</v>
      </c>
      <c r="AX26" s="15">
        <v>5555.56</v>
      </c>
      <c r="AY26" s="15">
        <v>0</v>
      </c>
      <c r="AZ26" s="15">
        <v>25000</v>
      </c>
      <c r="BA26" s="15">
        <v>7200</v>
      </c>
      <c r="BB26" s="15">
        <v>7200</v>
      </c>
      <c r="BC26" s="15">
        <v>0</v>
      </c>
      <c r="BD26" s="15">
        <v>79000</v>
      </c>
      <c r="BE26" s="15">
        <v>41000</v>
      </c>
      <c r="BF26" s="15">
        <v>7200</v>
      </c>
      <c r="BG26" s="15">
        <v>7200</v>
      </c>
      <c r="BH26" s="15">
        <v>78000</v>
      </c>
      <c r="BI26" s="15">
        <v>0</v>
      </c>
      <c r="BJ26" s="15">
        <v>15000</v>
      </c>
      <c r="BK26" s="15">
        <v>30000</v>
      </c>
      <c r="BL26" s="15">
        <v>76000</v>
      </c>
      <c r="BM26" s="15">
        <v>41000</v>
      </c>
      <c r="BN26" s="15">
        <v>15000</v>
      </c>
      <c r="BO26" s="15">
        <v>0</v>
      </c>
      <c r="BP26" s="15">
        <v>43000</v>
      </c>
      <c r="BQ26" s="15">
        <v>32000</v>
      </c>
      <c r="BR26" s="15">
        <v>7200</v>
      </c>
      <c r="BS26" s="15">
        <v>0</v>
      </c>
      <c r="BT26" s="15">
        <v>0</v>
      </c>
      <c r="BU26" s="15">
        <v>0</v>
      </c>
      <c r="BV26" s="15">
        <v>74000</v>
      </c>
      <c r="BW26" s="15">
        <v>0</v>
      </c>
      <c r="BX26" s="15">
        <v>7200</v>
      </c>
      <c r="BY26" s="15">
        <v>7200</v>
      </c>
      <c r="BZ26" s="15">
        <v>0</v>
      </c>
      <c r="CA26" s="15">
        <v>7200</v>
      </c>
      <c r="CB26" s="15">
        <v>29000</v>
      </c>
      <c r="CC26" s="15">
        <v>7200</v>
      </c>
      <c r="CD26" s="15">
        <v>0</v>
      </c>
      <c r="CE26" s="15">
        <v>7200</v>
      </c>
      <c r="CF26" s="15">
        <v>0</v>
      </c>
      <c r="CG26" s="15">
        <v>37000</v>
      </c>
      <c r="CH26" s="15">
        <v>0</v>
      </c>
      <c r="CI26" s="15">
        <v>0</v>
      </c>
      <c r="CJ26" s="15">
        <v>0</v>
      </c>
      <c r="CK26" s="15">
        <v>0</v>
      </c>
      <c r="CL26" s="15">
        <v>53000</v>
      </c>
      <c r="CM26" s="15">
        <v>52000</v>
      </c>
      <c r="CN26" s="15">
        <v>7200</v>
      </c>
      <c r="CO26" s="15">
        <v>7200</v>
      </c>
      <c r="CP26" s="15">
        <v>0</v>
      </c>
      <c r="CQ26" s="15">
        <v>7200</v>
      </c>
      <c r="CR26" s="15">
        <v>7200</v>
      </c>
      <c r="CS26" s="15">
        <v>7200</v>
      </c>
      <c r="CT26" s="15">
        <v>15000</v>
      </c>
      <c r="CU26" s="15">
        <v>7200</v>
      </c>
      <c r="CV26" s="15">
        <v>7200</v>
      </c>
      <c r="CW26" s="15">
        <v>7200</v>
      </c>
    </row>
    <row r="27" spans="1:101" x14ac:dyDescent="0.75">
      <c r="A27" s="22">
        <v>25</v>
      </c>
      <c r="B27" s="15">
        <v>25000</v>
      </c>
      <c r="C27" s="15">
        <v>74000</v>
      </c>
      <c r="D27" s="15">
        <v>7200</v>
      </c>
      <c r="E27" s="15">
        <v>0</v>
      </c>
      <c r="F27" s="15">
        <v>36000</v>
      </c>
      <c r="G27" s="15">
        <v>47000</v>
      </c>
      <c r="H27" s="15">
        <v>88000</v>
      </c>
      <c r="I27" s="15">
        <v>7200</v>
      </c>
      <c r="J27" s="15">
        <v>70000</v>
      </c>
      <c r="K27" s="15">
        <v>25000</v>
      </c>
      <c r="L27" s="15">
        <v>0</v>
      </c>
      <c r="M27" s="15">
        <v>0</v>
      </c>
      <c r="N27" s="15">
        <v>0</v>
      </c>
      <c r="O27" s="15">
        <v>15000</v>
      </c>
      <c r="P27" s="15">
        <v>0</v>
      </c>
      <c r="Q27" s="15">
        <v>0</v>
      </c>
      <c r="R27" s="15">
        <v>25000</v>
      </c>
      <c r="S27" s="15">
        <v>40000</v>
      </c>
      <c r="T27" s="15">
        <v>31000</v>
      </c>
      <c r="U27" s="15">
        <v>7200</v>
      </c>
      <c r="V27" s="15">
        <v>5000</v>
      </c>
      <c r="W27" s="15">
        <v>82000</v>
      </c>
      <c r="X27" s="15">
        <v>0</v>
      </c>
      <c r="Y27" s="15">
        <v>0</v>
      </c>
      <c r="Z27" s="15">
        <v>0</v>
      </c>
      <c r="AA27" s="15">
        <v>0</v>
      </c>
      <c r="AB27" s="15">
        <v>15000</v>
      </c>
      <c r="AC27" s="15">
        <v>7200</v>
      </c>
      <c r="AD27" s="15">
        <v>0</v>
      </c>
      <c r="AE27" s="15">
        <v>0</v>
      </c>
      <c r="AF27" s="15">
        <v>0</v>
      </c>
      <c r="AG27" s="15">
        <v>0</v>
      </c>
      <c r="AH27" s="15">
        <v>0</v>
      </c>
      <c r="AI27" s="15">
        <v>0</v>
      </c>
      <c r="AJ27" s="15">
        <v>15000</v>
      </c>
      <c r="AK27" s="15">
        <v>0</v>
      </c>
      <c r="AL27" s="15">
        <v>26000</v>
      </c>
      <c r="AM27" s="15">
        <v>51000</v>
      </c>
      <c r="AN27" s="15">
        <v>7200</v>
      </c>
      <c r="AO27" s="15">
        <v>0</v>
      </c>
      <c r="AP27" s="15">
        <v>25000</v>
      </c>
      <c r="AQ27" s="15">
        <v>33000</v>
      </c>
      <c r="AR27" s="15">
        <v>0</v>
      </c>
      <c r="AS27" s="15">
        <v>5000</v>
      </c>
      <c r="AT27" s="15">
        <v>74000</v>
      </c>
      <c r="AU27" s="15">
        <v>30000</v>
      </c>
      <c r="AV27" s="15">
        <v>0</v>
      </c>
      <c r="AW27" s="15">
        <v>42000</v>
      </c>
      <c r="AX27" s="15">
        <v>5555.56</v>
      </c>
      <c r="AY27" s="15">
        <v>0</v>
      </c>
      <c r="AZ27" s="15">
        <v>25000</v>
      </c>
      <c r="BA27" s="15">
        <v>7200</v>
      </c>
      <c r="BB27" s="15">
        <v>7200</v>
      </c>
      <c r="BC27" s="15">
        <v>0</v>
      </c>
      <c r="BD27" s="15">
        <v>80000</v>
      </c>
      <c r="BE27" s="15">
        <v>42000</v>
      </c>
      <c r="BF27" s="15">
        <v>7200</v>
      </c>
      <c r="BG27" s="15">
        <v>7200</v>
      </c>
      <c r="BH27" s="15">
        <v>79000</v>
      </c>
      <c r="BI27" s="15">
        <v>0</v>
      </c>
      <c r="BJ27" s="15">
        <v>15000</v>
      </c>
      <c r="BK27" s="15">
        <v>0</v>
      </c>
      <c r="BL27" s="15">
        <v>77000</v>
      </c>
      <c r="BM27" s="15">
        <v>42000</v>
      </c>
      <c r="BN27" s="15">
        <v>15000</v>
      </c>
      <c r="BO27" s="15">
        <v>0</v>
      </c>
      <c r="BP27" s="15">
        <v>44000</v>
      </c>
      <c r="BQ27" s="15">
        <v>33000</v>
      </c>
      <c r="BR27" s="15">
        <v>7200</v>
      </c>
      <c r="BS27" s="15">
        <v>0</v>
      </c>
      <c r="BT27" s="15">
        <v>0</v>
      </c>
      <c r="BU27" s="15">
        <v>0</v>
      </c>
      <c r="BV27" s="15">
        <v>75000</v>
      </c>
      <c r="BW27" s="15">
        <v>0</v>
      </c>
      <c r="BX27" s="15">
        <v>7200</v>
      </c>
      <c r="BY27" s="15">
        <v>7200</v>
      </c>
      <c r="BZ27" s="15">
        <v>0</v>
      </c>
      <c r="CA27" s="15">
        <v>7200</v>
      </c>
      <c r="CB27" s="15">
        <v>30000</v>
      </c>
      <c r="CC27" s="15">
        <v>7200</v>
      </c>
      <c r="CD27" s="15">
        <v>0</v>
      </c>
      <c r="CE27" s="15">
        <v>7200</v>
      </c>
      <c r="CF27" s="15">
        <v>0</v>
      </c>
      <c r="CG27" s="15">
        <v>38000</v>
      </c>
      <c r="CH27" s="15">
        <v>0</v>
      </c>
      <c r="CI27" s="15">
        <v>0</v>
      </c>
      <c r="CJ27" s="15">
        <v>0</v>
      </c>
      <c r="CK27" s="15">
        <v>0</v>
      </c>
      <c r="CL27" s="15">
        <v>54000</v>
      </c>
      <c r="CM27" s="15">
        <v>53000</v>
      </c>
      <c r="CN27" s="15">
        <v>7200</v>
      </c>
      <c r="CO27" s="15">
        <v>7200</v>
      </c>
      <c r="CP27" s="15">
        <v>0</v>
      </c>
      <c r="CQ27" s="15">
        <v>7200</v>
      </c>
      <c r="CR27" s="15">
        <v>7200</v>
      </c>
      <c r="CS27" s="15">
        <v>7200</v>
      </c>
      <c r="CT27" s="15">
        <v>15000</v>
      </c>
      <c r="CU27" s="15">
        <v>7200</v>
      </c>
      <c r="CV27" s="15">
        <v>7200</v>
      </c>
      <c r="CW27" s="15">
        <v>7200</v>
      </c>
    </row>
    <row r="28" spans="1:101" x14ac:dyDescent="0.75">
      <c r="A28" s="22">
        <v>26</v>
      </c>
      <c r="B28" s="15">
        <v>25000</v>
      </c>
      <c r="C28" s="15">
        <v>75000</v>
      </c>
      <c r="D28" s="15">
        <v>7200</v>
      </c>
      <c r="E28" s="15">
        <v>0</v>
      </c>
      <c r="F28" s="15">
        <v>37000</v>
      </c>
      <c r="G28" s="15">
        <v>48000</v>
      </c>
      <c r="H28" s="15">
        <v>89000</v>
      </c>
      <c r="I28" s="15">
        <v>7200</v>
      </c>
      <c r="J28" s="15">
        <v>71000</v>
      </c>
      <c r="K28" s="15">
        <v>0</v>
      </c>
      <c r="L28" s="15">
        <v>0</v>
      </c>
      <c r="M28" s="15">
        <v>0</v>
      </c>
      <c r="N28" s="15">
        <v>0</v>
      </c>
      <c r="O28" s="15">
        <v>15000</v>
      </c>
      <c r="P28" s="15">
        <v>0</v>
      </c>
      <c r="Q28" s="15">
        <v>0</v>
      </c>
      <c r="R28" s="15">
        <v>25000</v>
      </c>
      <c r="S28" s="15">
        <v>41000</v>
      </c>
      <c r="T28" s="15">
        <v>32000</v>
      </c>
      <c r="U28" s="15">
        <v>7200</v>
      </c>
      <c r="V28" s="15">
        <v>5000</v>
      </c>
      <c r="W28" s="15">
        <v>83000</v>
      </c>
      <c r="X28" s="15">
        <v>0</v>
      </c>
      <c r="Y28" s="15">
        <v>0</v>
      </c>
      <c r="Z28" s="15">
        <v>0</v>
      </c>
      <c r="AA28" s="15">
        <v>0</v>
      </c>
      <c r="AB28" s="15">
        <v>15000</v>
      </c>
      <c r="AC28" s="15">
        <v>7200</v>
      </c>
      <c r="AD28" s="15">
        <v>0</v>
      </c>
      <c r="AE28" s="15">
        <v>0</v>
      </c>
      <c r="AF28" s="15">
        <v>0</v>
      </c>
      <c r="AG28" s="15">
        <v>0</v>
      </c>
      <c r="AH28" s="15">
        <v>0</v>
      </c>
      <c r="AI28" s="15">
        <v>0</v>
      </c>
      <c r="AJ28" s="15">
        <v>15000</v>
      </c>
      <c r="AK28" s="15">
        <v>0</v>
      </c>
      <c r="AL28" s="15">
        <v>27000</v>
      </c>
      <c r="AM28" s="15">
        <v>52000</v>
      </c>
      <c r="AN28" s="15">
        <v>7200</v>
      </c>
      <c r="AO28" s="15">
        <v>0</v>
      </c>
      <c r="AP28" s="15">
        <v>26000</v>
      </c>
      <c r="AQ28" s="15">
        <v>34000</v>
      </c>
      <c r="AR28" s="15">
        <v>0</v>
      </c>
      <c r="AS28" s="15">
        <v>5000</v>
      </c>
      <c r="AT28" s="15">
        <v>75000</v>
      </c>
      <c r="AU28" s="15">
        <v>0</v>
      </c>
      <c r="AV28" s="15">
        <v>0</v>
      </c>
      <c r="AW28" s="15">
        <v>43000</v>
      </c>
      <c r="AX28" s="15">
        <v>5555.56</v>
      </c>
      <c r="AY28" s="15">
        <v>0</v>
      </c>
      <c r="AZ28" s="15">
        <v>25000</v>
      </c>
      <c r="BA28" s="15">
        <v>7200</v>
      </c>
      <c r="BB28" s="15">
        <v>7200</v>
      </c>
      <c r="BC28" s="15">
        <v>0</v>
      </c>
      <c r="BD28" s="15">
        <v>81000</v>
      </c>
      <c r="BE28" s="15">
        <v>43000</v>
      </c>
      <c r="BF28" s="15">
        <v>7200</v>
      </c>
      <c r="BG28" s="15">
        <v>7200</v>
      </c>
      <c r="BH28" s="15">
        <v>80000</v>
      </c>
      <c r="BI28" s="15">
        <v>0</v>
      </c>
      <c r="BJ28" s="15">
        <v>15000</v>
      </c>
      <c r="BK28" s="15">
        <v>30000</v>
      </c>
      <c r="BL28" s="15">
        <v>78000</v>
      </c>
      <c r="BM28" s="15">
        <v>43000</v>
      </c>
      <c r="BN28" s="15">
        <v>15000</v>
      </c>
      <c r="BO28" s="15">
        <v>0</v>
      </c>
      <c r="BP28" s="15">
        <v>45000</v>
      </c>
      <c r="BQ28" s="15">
        <v>34000</v>
      </c>
      <c r="BR28" s="15">
        <v>7200</v>
      </c>
      <c r="BS28" s="15">
        <v>0</v>
      </c>
      <c r="BT28" s="15">
        <v>0</v>
      </c>
      <c r="BU28" s="15">
        <v>0</v>
      </c>
      <c r="BV28" s="15">
        <v>76000</v>
      </c>
      <c r="BW28" s="15">
        <v>0</v>
      </c>
      <c r="BX28" s="15">
        <v>7200</v>
      </c>
      <c r="BY28" s="15">
        <v>7200</v>
      </c>
      <c r="BZ28" s="15">
        <v>0</v>
      </c>
      <c r="CA28" s="15">
        <v>7200</v>
      </c>
      <c r="CB28" s="15">
        <v>31000</v>
      </c>
      <c r="CC28" s="15">
        <v>7200</v>
      </c>
      <c r="CD28" s="15">
        <v>0</v>
      </c>
      <c r="CE28" s="15">
        <v>7200</v>
      </c>
      <c r="CF28" s="15">
        <v>0</v>
      </c>
      <c r="CG28" s="15">
        <v>39000</v>
      </c>
      <c r="CH28" s="15">
        <v>0</v>
      </c>
      <c r="CI28" s="15">
        <v>0</v>
      </c>
      <c r="CJ28" s="15">
        <v>0</v>
      </c>
      <c r="CK28" s="15">
        <v>0</v>
      </c>
      <c r="CL28" s="15">
        <v>0</v>
      </c>
      <c r="CM28" s="15">
        <v>54000</v>
      </c>
      <c r="CN28" s="15">
        <v>7200</v>
      </c>
      <c r="CO28" s="15">
        <v>7200</v>
      </c>
      <c r="CP28" s="15">
        <v>0</v>
      </c>
      <c r="CQ28" s="15">
        <v>7200</v>
      </c>
      <c r="CR28" s="15">
        <v>7200</v>
      </c>
      <c r="CS28" s="15">
        <v>7200</v>
      </c>
      <c r="CT28" s="15">
        <v>15000</v>
      </c>
      <c r="CU28" s="15">
        <v>7200</v>
      </c>
      <c r="CV28" s="15">
        <v>7200</v>
      </c>
      <c r="CW28" s="15">
        <v>7200</v>
      </c>
    </row>
    <row r="29" spans="1:101" x14ac:dyDescent="0.75">
      <c r="A29" s="22">
        <v>27</v>
      </c>
      <c r="B29" s="15">
        <v>0</v>
      </c>
      <c r="C29" s="15">
        <v>76000</v>
      </c>
      <c r="D29" s="15">
        <v>7200</v>
      </c>
      <c r="E29" s="15">
        <v>0</v>
      </c>
      <c r="F29" s="15">
        <v>38000</v>
      </c>
      <c r="G29" s="15">
        <v>49000</v>
      </c>
      <c r="H29" s="15">
        <v>90000</v>
      </c>
      <c r="I29" s="15">
        <v>7200</v>
      </c>
      <c r="J29" s="15">
        <v>72000</v>
      </c>
      <c r="K29" s="15">
        <v>0</v>
      </c>
      <c r="L29" s="15">
        <v>0</v>
      </c>
      <c r="M29" s="15">
        <v>0</v>
      </c>
      <c r="N29" s="15">
        <v>0</v>
      </c>
      <c r="O29" s="15">
        <v>15000</v>
      </c>
      <c r="P29" s="15">
        <v>0</v>
      </c>
      <c r="Q29" s="15">
        <v>0</v>
      </c>
      <c r="R29" s="15">
        <v>25000</v>
      </c>
      <c r="S29" s="15">
        <v>42000</v>
      </c>
      <c r="T29" s="15">
        <v>33000</v>
      </c>
      <c r="U29" s="15">
        <v>7200</v>
      </c>
      <c r="V29" s="15">
        <v>5000</v>
      </c>
      <c r="W29" s="15">
        <v>84000</v>
      </c>
      <c r="X29" s="15">
        <v>0</v>
      </c>
      <c r="Y29" s="15">
        <v>0</v>
      </c>
      <c r="Z29" s="15">
        <v>0</v>
      </c>
      <c r="AA29" s="15">
        <v>0</v>
      </c>
      <c r="AB29" s="15">
        <v>0</v>
      </c>
      <c r="AC29" s="15">
        <v>7200</v>
      </c>
      <c r="AD29" s="15">
        <v>0</v>
      </c>
      <c r="AE29" s="15">
        <v>0</v>
      </c>
      <c r="AF29" s="15">
        <v>0</v>
      </c>
      <c r="AG29" s="15">
        <v>0</v>
      </c>
      <c r="AH29" s="15">
        <v>0</v>
      </c>
      <c r="AI29" s="15">
        <v>0</v>
      </c>
      <c r="AJ29" s="15">
        <v>0</v>
      </c>
      <c r="AK29" s="15">
        <v>0</v>
      </c>
      <c r="AL29" s="15">
        <v>28000</v>
      </c>
      <c r="AM29" s="15">
        <v>53000</v>
      </c>
      <c r="AN29" s="15">
        <v>7200</v>
      </c>
      <c r="AO29" s="15">
        <v>0</v>
      </c>
      <c r="AP29" s="15">
        <v>27000</v>
      </c>
      <c r="AQ29" s="15">
        <v>35000</v>
      </c>
      <c r="AR29" s="15">
        <v>0</v>
      </c>
      <c r="AS29" s="15">
        <v>5000</v>
      </c>
      <c r="AT29" s="15">
        <v>76000</v>
      </c>
      <c r="AU29" s="15">
        <v>0</v>
      </c>
      <c r="AV29" s="15">
        <v>0</v>
      </c>
      <c r="AW29" s="15">
        <v>44000</v>
      </c>
      <c r="AX29" s="15">
        <v>5555.56</v>
      </c>
      <c r="AY29" s="15">
        <v>0</v>
      </c>
      <c r="AZ29" s="15">
        <v>25000</v>
      </c>
      <c r="BA29" s="15">
        <v>7200</v>
      </c>
      <c r="BB29" s="15">
        <v>7200</v>
      </c>
      <c r="BC29" s="15">
        <v>0</v>
      </c>
      <c r="BD29" s="15">
        <v>82000</v>
      </c>
      <c r="BE29" s="15">
        <v>44000</v>
      </c>
      <c r="BF29" s="15">
        <v>7200</v>
      </c>
      <c r="BG29" s="15">
        <v>7200</v>
      </c>
      <c r="BH29" s="15">
        <v>81000</v>
      </c>
      <c r="BI29" s="15">
        <v>0</v>
      </c>
      <c r="BJ29" s="15">
        <v>0</v>
      </c>
      <c r="BK29" s="15">
        <v>0</v>
      </c>
      <c r="BL29" s="15">
        <v>79000</v>
      </c>
      <c r="BM29" s="15">
        <v>44000</v>
      </c>
      <c r="BN29" s="15">
        <v>15000</v>
      </c>
      <c r="BO29" s="15">
        <v>0</v>
      </c>
      <c r="BP29" s="15">
        <v>46000</v>
      </c>
      <c r="BQ29" s="15">
        <v>35000</v>
      </c>
      <c r="BR29" s="15">
        <v>7200</v>
      </c>
      <c r="BS29" s="15">
        <v>0</v>
      </c>
      <c r="BT29" s="15">
        <v>0</v>
      </c>
      <c r="BU29" s="15">
        <v>0</v>
      </c>
      <c r="BV29" s="15">
        <v>77000</v>
      </c>
      <c r="BW29" s="15">
        <v>0</v>
      </c>
      <c r="BX29" s="15">
        <v>7200</v>
      </c>
      <c r="BY29" s="15">
        <v>7200</v>
      </c>
      <c r="BZ29" s="15">
        <v>0</v>
      </c>
      <c r="CA29" s="15">
        <v>7200</v>
      </c>
      <c r="CB29" s="15">
        <v>32000</v>
      </c>
      <c r="CC29" s="15">
        <v>7200</v>
      </c>
      <c r="CD29" s="15">
        <v>0</v>
      </c>
      <c r="CE29" s="15">
        <v>7200</v>
      </c>
      <c r="CF29" s="15">
        <v>0</v>
      </c>
      <c r="CG29" s="15">
        <v>40000</v>
      </c>
      <c r="CH29" s="15">
        <v>0</v>
      </c>
      <c r="CI29" s="15">
        <v>0</v>
      </c>
      <c r="CJ29" s="15">
        <v>0</v>
      </c>
      <c r="CK29" s="15">
        <v>0</v>
      </c>
      <c r="CL29" s="15">
        <v>0</v>
      </c>
      <c r="CM29" s="15">
        <v>0</v>
      </c>
      <c r="CN29" s="15">
        <v>7200</v>
      </c>
      <c r="CO29" s="15">
        <v>7200</v>
      </c>
      <c r="CP29" s="15">
        <v>0</v>
      </c>
      <c r="CQ29" s="15">
        <v>7200</v>
      </c>
      <c r="CR29" s="15">
        <v>7200</v>
      </c>
      <c r="CS29" s="15">
        <v>7200</v>
      </c>
      <c r="CT29" s="15">
        <v>15000</v>
      </c>
      <c r="CU29" s="15">
        <v>7200</v>
      </c>
      <c r="CV29" s="15">
        <v>7200</v>
      </c>
      <c r="CW29" s="15">
        <v>7200</v>
      </c>
    </row>
    <row r="30" spans="1:101" x14ac:dyDescent="0.75">
      <c r="A30" s="22">
        <v>28</v>
      </c>
      <c r="B30" s="15">
        <v>0</v>
      </c>
      <c r="C30" s="15">
        <v>77000</v>
      </c>
      <c r="D30" s="15">
        <v>7200</v>
      </c>
      <c r="E30" s="15">
        <v>0</v>
      </c>
      <c r="F30" s="15">
        <v>39000</v>
      </c>
      <c r="G30" s="15">
        <v>50000</v>
      </c>
      <c r="H30" s="15">
        <v>91000</v>
      </c>
      <c r="I30" s="15">
        <v>7200</v>
      </c>
      <c r="J30" s="15">
        <v>73000</v>
      </c>
      <c r="K30" s="15">
        <v>0</v>
      </c>
      <c r="L30" s="15">
        <v>0</v>
      </c>
      <c r="M30" s="15">
        <v>0</v>
      </c>
      <c r="N30" s="15">
        <v>0</v>
      </c>
      <c r="O30" s="15">
        <v>15000</v>
      </c>
      <c r="P30" s="15">
        <v>0</v>
      </c>
      <c r="Q30" s="15">
        <v>0</v>
      </c>
      <c r="R30" s="15">
        <v>25000</v>
      </c>
      <c r="S30" s="15">
        <v>43000</v>
      </c>
      <c r="T30" s="15">
        <v>34000</v>
      </c>
      <c r="U30" s="15">
        <v>7200</v>
      </c>
      <c r="V30" s="15">
        <v>5000</v>
      </c>
      <c r="W30" s="15">
        <v>85000</v>
      </c>
      <c r="X30" s="15">
        <v>0</v>
      </c>
      <c r="Y30" s="15">
        <v>0</v>
      </c>
      <c r="Z30" s="15">
        <v>0</v>
      </c>
      <c r="AA30" s="15">
        <v>0</v>
      </c>
      <c r="AB30" s="15">
        <v>0</v>
      </c>
      <c r="AC30" s="15">
        <v>7200</v>
      </c>
      <c r="AD30" s="15">
        <v>0</v>
      </c>
      <c r="AE30" s="15">
        <v>0</v>
      </c>
      <c r="AF30" s="15">
        <v>0</v>
      </c>
      <c r="AG30" s="15">
        <v>0</v>
      </c>
      <c r="AH30" s="15">
        <v>0</v>
      </c>
      <c r="AI30" s="15">
        <v>0</v>
      </c>
      <c r="AJ30" s="15">
        <v>0</v>
      </c>
      <c r="AK30" s="15">
        <v>0</v>
      </c>
      <c r="AL30" s="15">
        <v>29000</v>
      </c>
      <c r="AM30" s="15">
        <v>54000</v>
      </c>
      <c r="AN30" s="15">
        <v>7200</v>
      </c>
      <c r="AO30" s="15">
        <v>0</v>
      </c>
      <c r="AP30" s="15">
        <v>28000</v>
      </c>
      <c r="AQ30" s="15">
        <v>36000</v>
      </c>
      <c r="AR30" s="15">
        <v>0</v>
      </c>
      <c r="AS30" s="15">
        <v>0</v>
      </c>
      <c r="AT30" s="15">
        <v>77000</v>
      </c>
      <c r="AU30" s="15">
        <v>0</v>
      </c>
      <c r="AV30" s="15">
        <v>0</v>
      </c>
      <c r="AW30" s="15">
        <v>45000</v>
      </c>
      <c r="AX30" s="15">
        <v>5555.56</v>
      </c>
      <c r="AY30" s="15">
        <v>0</v>
      </c>
      <c r="AZ30" s="15">
        <v>25000</v>
      </c>
      <c r="BA30" s="15">
        <v>7200</v>
      </c>
      <c r="BB30" s="15">
        <v>7200</v>
      </c>
      <c r="BC30" s="15">
        <v>0</v>
      </c>
      <c r="BD30" s="15">
        <v>83000</v>
      </c>
      <c r="BE30" s="15">
        <v>45000</v>
      </c>
      <c r="BF30" s="15">
        <v>7200</v>
      </c>
      <c r="BG30" s="15">
        <v>7200</v>
      </c>
      <c r="BH30" s="15">
        <v>82000</v>
      </c>
      <c r="BI30" s="15">
        <v>0</v>
      </c>
      <c r="BJ30" s="15">
        <v>0</v>
      </c>
      <c r="BK30" s="15">
        <v>30000</v>
      </c>
      <c r="BL30" s="15">
        <v>80000</v>
      </c>
      <c r="BM30" s="15">
        <v>45000</v>
      </c>
      <c r="BN30" s="15">
        <v>15000</v>
      </c>
      <c r="BO30" s="15">
        <v>0</v>
      </c>
      <c r="BP30" s="15">
        <v>47000</v>
      </c>
      <c r="BQ30" s="15">
        <v>36000</v>
      </c>
      <c r="BR30" s="15">
        <v>7200</v>
      </c>
      <c r="BS30" s="15">
        <v>0</v>
      </c>
      <c r="BT30" s="15">
        <v>0</v>
      </c>
      <c r="BU30" s="15">
        <v>0</v>
      </c>
      <c r="BV30" s="15">
        <v>78000</v>
      </c>
      <c r="BW30" s="15">
        <v>0</v>
      </c>
      <c r="BX30" s="15">
        <v>7200</v>
      </c>
      <c r="BY30" s="15">
        <v>7200</v>
      </c>
      <c r="BZ30" s="15">
        <v>0</v>
      </c>
      <c r="CA30" s="15">
        <v>7200</v>
      </c>
      <c r="CB30" s="15">
        <v>33000</v>
      </c>
      <c r="CC30" s="15">
        <v>7200</v>
      </c>
      <c r="CD30" s="15">
        <v>0</v>
      </c>
      <c r="CE30" s="15">
        <v>7200</v>
      </c>
      <c r="CF30" s="15">
        <v>0</v>
      </c>
      <c r="CG30" s="15">
        <v>41000</v>
      </c>
      <c r="CH30" s="15">
        <v>0</v>
      </c>
      <c r="CI30" s="15">
        <v>0</v>
      </c>
      <c r="CJ30" s="15">
        <v>0</v>
      </c>
      <c r="CK30" s="15">
        <v>0</v>
      </c>
      <c r="CL30" s="15">
        <v>0</v>
      </c>
      <c r="CM30" s="15">
        <v>0</v>
      </c>
      <c r="CN30" s="15">
        <v>7200</v>
      </c>
      <c r="CO30" s="15">
        <v>7200</v>
      </c>
      <c r="CP30" s="15">
        <v>0</v>
      </c>
      <c r="CQ30" s="15">
        <v>7200</v>
      </c>
      <c r="CR30" s="15">
        <v>7200</v>
      </c>
      <c r="CS30" s="15">
        <v>7200</v>
      </c>
      <c r="CT30" s="15">
        <v>0</v>
      </c>
      <c r="CU30" s="15">
        <v>7200</v>
      </c>
      <c r="CV30" s="15">
        <v>7200</v>
      </c>
      <c r="CW30" s="15">
        <v>7200</v>
      </c>
    </row>
    <row r="31" spans="1:101" x14ac:dyDescent="0.75">
      <c r="A31" s="22">
        <v>29</v>
      </c>
      <c r="B31" s="15">
        <v>0</v>
      </c>
      <c r="C31" s="15">
        <v>78000</v>
      </c>
      <c r="D31" s="15">
        <v>7200</v>
      </c>
      <c r="E31" s="15">
        <v>0</v>
      </c>
      <c r="F31" s="15">
        <v>40000</v>
      </c>
      <c r="G31" s="15">
        <v>51000</v>
      </c>
      <c r="H31" s="15">
        <v>92000</v>
      </c>
      <c r="I31" s="15">
        <v>7200</v>
      </c>
      <c r="J31" s="15">
        <v>74000</v>
      </c>
      <c r="K31" s="15">
        <v>0</v>
      </c>
      <c r="L31" s="15">
        <v>0</v>
      </c>
      <c r="M31" s="15">
        <v>0</v>
      </c>
      <c r="N31" s="15">
        <v>0</v>
      </c>
      <c r="O31" s="15">
        <v>15000</v>
      </c>
      <c r="P31" s="15">
        <v>0</v>
      </c>
      <c r="Q31" s="15">
        <v>0</v>
      </c>
      <c r="R31" s="15">
        <v>25000</v>
      </c>
      <c r="S31" s="15">
        <v>44000</v>
      </c>
      <c r="T31" s="15">
        <v>35000</v>
      </c>
      <c r="U31" s="15">
        <v>7200</v>
      </c>
      <c r="V31" s="15">
        <v>0</v>
      </c>
      <c r="W31" s="15">
        <v>86000</v>
      </c>
      <c r="X31" s="15">
        <v>0</v>
      </c>
      <c r="Y31" s="15">
        <v>0</v>
      </c>
      <c r="Z31" s="15">
        <v>0</v>
      </c>
      <c r="AA31" s="15">
        <v>0</v>
      </c>
      <c r="AB31" s="15">
        <v>0</v>
      </c>
      <c r="AC31" s="15">
        <v>7200</v>
      </c>
      <c r="AD31" s="15">
        <v>0</v>
      </c>
      <c r="AE31" s="15">
        <v>0</v>
      </c>
      <c r="AF31" s="15">
        <v>0</v>
      </c>
      <c r="AG31" s="15">
        <v>0</v>
      </c>
      <c r="AH31" s="15">
        <v>0</v>
      </c>
      <c r="AI31" s="15">
        <v>0</v>
      </c>
      <c r="AJ31" s="15">
        <v>0</v>
      </c>
      <c r="AK31" s="15">
        <v>0</v>
      </c>
      <c r="AL31" s="15">
        <v>30000</v>
      </c>
      <c r="AM31" s="15">
        <v>0</v>
      </c>
      <c r="AN31" s="15">
        <v>7200</v>
      </c>
      <c r="AO31" s="15">
        <v>0</v>
      </c>
      <c r="AP31" s="15">
        <v>29000</v>
      </c>
      <c r="AQ31" s="15">
        <v>37000</v>
      </c>
      <c r="AR31" s="15">
        <v>0</v>
      </c>
      <c r="AS31" s="15">
        <v>0</v>
      </c>
      <c r="AT31" s="15">
        <v>78000</v>
      </c>
      <c r="AU31" s="15">
        <v>0</v>
      </c>
      <c r="AV31" s="15">
        <v>0</v>
      </c>
      <c r="AW31" s="15">
        <v>46000</v>
      </c>
      <c r="AX31" s="15">
        <v>5555.56</v>
      </c>
      <c r="AY31" s="15">
        <v>0</v>
      </c>
      <c r="AZ31" s="15">
        <v>25000</v>
      </c>
      <c r="BA31" s="15">
        <v>7200</v>
      </c>
      <c r="BB31" s="15">
        <v>7200</v>
      </c>
      <c r="BC31" s="15">
        <v>0</v>
      </c>
      <c r="BD31" s="15">
        <v>84000</v>
      </c>
      <c r="BE31" s="15">
        <v>46000</v>
      </c>
      <c r="BF31" s="15">
        <v>7200</v>
      </c>
      <c r="BG31" s="15">
        <v>7200</v>
      </c>
      <c r="BH31" s="15">
        <v>83000</v>
      </c>
      <c r="BI31" s="15">
        <v>0</v>
      </c>
      <c r="BJ31" s="15">
        <v>0</v>
      </c>
      <c r="BK31" s="15">
        <v>0</v>
      </c>
      <c r="BL31" s="15">
        <v>81000</v>
      </c>
      <c r="BM31" s="15">
        <v>46000</v>
      </c>
      <c r="BN31" s="15">
        <v>15000</v>
      </c>
      <c r="BO31" s="15">
        <v>0</v>
      </c>
      <c r="BP31" s="15">
        <v>48000</v>
      </c>
      <c r="BQ31" s="15">
        <v>37000</v>
      </c>
      <c r="BR31" s="15">
        <v>7200</v>
      </c>
      <c r="BS31" s="15">
        <v>0</v>
      </c>
      <c r="BT31" s="15">
        <v>0</v>
      </c>
      <c r="BU31" s="15">
        <v>0</v>
      </c>
      <c r="BV31" s="15">
        <v>79000</v>
      </c>
      <c r="BW31" s="15">
        <v>0</v>
      </c>
      <c r="BX31" s="15">
        <v>7200</v>
      </c>
      <c r="BY31" s="15">
        <v>7200</v>
      </c>
      <c r="BZ31" s="15">
        <v>0</v>
      </c>
      <c r="CA31" s="15">
        <v>7200</v>
      </c>
      <c r="CB31" s="15">
        <v>34000</v>
      </c>
      <c r="CC31" s="15">
        <v>7200</v>
      </c>
      <c r="CD31" s="15">
        <v>0</v>
      </c>
      <c r="CE31" s="15">
        <v>7200</v>
      </c>
      <c r="CF31" s="15">
        <v>0</v>
      </c>
      <c r="CG31" s="15">
        <v>42000</v>
      </c>
      <c r="CH31" s="15">
        <v>0</v>
      </c>
      <c r="CI31" s="15">
        <v>0</v>
      </c>
      <c r="CJ31" s="15">
        <v>0</v>
      </c>
      <c r="CK31" s="15">
        <v>0</v>
      </c>
      <c r="CL31" s="15">
        <v>0</v>
      </c>
      <c r="CM31" s="15">
        <v>0</v>
      </c>
      <c r="CN31" s="15">
        <v>7200</v>
      </c>
      <c r="CO31" s="15">
        <v>7200</v>
      </c>
      <c r="CP31" s="15">
        <v>0</v>
      </c>
      <c r="CQ31" s="15">
        <v>7200</v>
      </c>
      <c r="CR31" s="15">
        <v>7200</v>
      </c>
      <c r="CS31" s="15">
        <v>7200</v>
      </c>
      <c r="CT31" s="15">
        <v>0</v>
      </c>
      <c r="CU31" s="15">
        <v>7200</v>
      </c>
      <c r="CV31" s="15">
        <v>7200</v>
      </c>
      <c r="CW31" s="15">
        <v>7200</v>
      </c>
    </row>
    <row r="32" spans="1:101" x14ac:dyDescent="0.75">
      <c r="A32" s="22">
        <v>30</v>
      </c>
      <c r="B32" s="15">
        <v>0</v>
      </c>
      <c r="C32" s="15">
        <v>79000</v>
      </c>
      <c r="D32" s="15">
        <v>7200</v>
      </c>
      <c r="E32" s="15">
        <v>0</v>
      </c>
      <c r="F32" s="15">
        <v>41000</v>
      </c>
      <c r="G32" s="15">
        <v>52000</v>
      </c>
      <c r="H32" s="15">
        <v>93000</v>
      </c>
      <c r="I32" s="15">
        <v>7200</v>
      </c>
      <c r="J32" s="15">
        <v>75000</v>
      </c>
      <c r="K32" s="15">
        <v>0</v>
      </c>
      <c r="L32" s="15">
        <v>0</v>
      </c>
      <c r="M32" s="15">
        <v>0</v>
      </c>
      <c r="N32" s="15">
        <v>0</v>
      </c>
      <c r="O32" s="15">
        <v>15000</v>
      </c>
      <c r="P32" s="15">
        <v>0</v>
      </c>
      <c r="Q32" s="15">
        <v>0</v>
      </c>
      <c r="R32" s="15">
        <v>0</v>
      </c>
      <c r="S32" s="15">
        <v>45000</v>
      </c>
      <c r="T32" s="15">
        <v>36000</v>
      </c>
      <c r="U32" s="15">
        <v>7200</v>
      </c>
      <c r="V32" s="15">
        <v>0</v>
      </c>
      <c r="W32" s="15">
        <v>87000</v>
      </c>
      <c r="X32" s="15">
        <v>0</v>
      </c>
      <c r="Y32" s="15">
        <v>0</v>
      </c>
      <c r="Z32" s="15">
        <v>0</v>
      </c>
      <c r="AA32" s="15">
        <v>0</v>
      </c>
      <c r="AB32" s="15">
        <v>0</v>
      </c>
      <c r="AC32" s="15">
        <v>7200</v>
      </c>
      <c r="AD32" s="15">
        <v>0</v>
      </c>
      <c r="AE32" s="15">
        <v>0</v>
      </c>
      <c r="AF32" s="15">
        <v>0</v>
      </c>
      <c r="AG32" s="15">
        <v>0</v>
      </c>
      <c r="AH32" s="15">
        <v>0</v>
      </c>
      <c r="AI32" s="15">
        <v>0</v>
      </c>
      <c r="AJ32" s="15">
        <v>0</v>
      </c>
      <c r="AK32" s="15">
        <v>0</v>
      </c>
      <c r="AL32" s="15">
        <v>31000</v>
      </c>
      <c r="AM32" s="15">
        <v>0</v>
      </c>
      <c r="AN32" s="15">
        <v>7200</v>
      </c>
      <c r="AO32" s="15">
        <v>0</v>
      </c>
      <c r="AP32" s="15">
        <v>30000</v>
      </c>
      <c r="AQ32" s="15">
        <v>38000</v>
      </c>
      <c r="AR32" s="15">
        <v>0</v>
      </c>
      <c r="AS32" s="15">
        <v>0</v>
      </c>
      <c r="AT32" s="15">
        <v>79000</v>
      </c>
      <c r="AU32" s="15">
        <v>0</v>
      </c>
      <c r="AV32" s="15">
        <v>0</v>
      </c>
      <c r="AW32" s="15">
        <v>47000</v>
      </c>
      <c r="AX32" s="15">
        <v>5555.56</v>
      </c>
      <c r="AY32" s="15">
        <v>0</v>
      </c>
      <c r="AZ32" s="15">
        <v>25000</v>
      </c>
      <c r="BA32" s="15">
        <v>7200</v>
      </c>
      <c r="BB32" s="15">
        <v>7200</v>
      </c>
      <c r="BC32" s="15">
        <v>0</v>
      </c>
      <c r="BD32" s="15">
        <v>85000</v>
      </c>
      <c r="BE32" s="15">
        <v>47000</v>
      </c>
      <c r="BF32" s="15">
        <v>7200</v>
      </c>
      <c r="BG32" s="15">
        <v>7200</v>
      </c>
      <c r="BH32" s="15">
        <v>84000</v>
      </c>
      <c r="BI32" s="15">
        <v>0</v>
      </c>
      <c r="BJ32" s="15">
        <v>0</v>
      </c>
      <c r="BK32" s="15">
        <v>30000</v>
      </c>
      <c r="BL32" s="15">
        <v>82000</v>
      </c>
      <c r="BM32" s="15">
        <v>47000</v>
      </c>
      <c r="BN32" s="15">
        <v>15000</v>
      </c>
      <c r="BO32" s="15">
        <v>0</v>
      </c>
      <c r="BP32" s="15">
        <v>49000</v>
      </c>
      <c r="BQ32" s="15">
        <v>38000</v>
      </c>
      <c r="BR32" s="15">
        <v>7200</v>
      </c>
      <c r="BS32" s="15">
        <v>0</v>
      </c>
      <c r="BT32" s="15">
        <v>0</v>
      </c>
      <c r="BU32" s="15">
        <v>0</v>
      </c>
      <c r="BV32" s="15">
        <v>80000</v>
      </c>
      <c r="BW32" s="15">
        <v>0</v>
      </c>
      <c r="BX32" s="15">
        <v>7200</v>
      </c>
      <c r="BY32" s="15">
        <v>7200</v>
      </c>
      <c r="BZ32" s="15">
        <v>0</v>
      </c>
      <c r="CA32" s="15">
        <v>7200</v>
      </c>
      <c r="CB32" s="15">
        <v>35000</v>
      </c>
      <c r="CC32" s="15">
        <v>7200</v>
      </c>
      <c r="CD32" s="15">
        <v>0</v>
      </c>
      <c r="CE32" s="15">
        <v>7200</v>
      </c>
      <c r="CF32" s="15">
        <v>0</v>
      </c>
      <c r="CG32" s="15">
        <v>43000</v>
      </c>
      <c r="CH32" s="15">
        <v>0</v>
      </c>
      <c r="CI32" s="15">
        <v>0</v>
      </c>
      <c r="CJ32" s="15">
        <v>0</v>
      </c>
      <c r="CK32" s="15">
        <v>0</v>
      </c>
      <c r="CL32" s="15">
        <v>0</v>
      </c>
      <c r="CM32" s="15">
        <v>0</v>
      </c>
      <c r="CN32" s="15">
        <v>7200</v>
      </c>
      <c r="CO32" s="15">
        <v>7200</v>
      </c>
      <c r="CP32" s="15">
        <v>0</v>
      </c>
      <c r="CQ32" s="15">
        <v>7200</v>
      </c>
      <c r="CR32" s="15">
        <v>7200</v>
      </c>
      <c r="CS32" s="15">
        <v>7200</v>
      </c>
      <c r="CT32" s="15">
        <v>0</v>
      </c>
      <c r="CU32" s="15">
        <v>7200</v>
      </c>
      <c r="CV32" s="15">
        <v>7200</v>
      </c>
      <c r="CW32" s="15">
        <v>7200</v>
      </c>
    </row>
    <row r="33" spans="1:101" x14ac:dyDescent="0.75">
      <c r="A33" s="22">
        <v>31</v>
      </c>
      <c r="B33" s="15">
        <v>0</v>
      </c>
      <c r="C33" s="15">
        <v>80000</v>
      </c>
      <c r="D33" s="15">
        <v>7200</v>
      </c>
      <c r="E33" s="15">
        <v>0</v>
      </c>
      <c r="F33" s="15">
        <v>42000</v>
      </c>
      <c r="G33" s="15">
        <v>53000</v>
      </c>
      <c r="H33" s="15">
        <v>94000</v>
      </c>
      <c r="I33" s="15">
        <v>7200</v>
      </c>
      <c r="J33" s="15">
        <v>76000</v>
      </c>
      <c r="K33" s="15">
        <v>0</v>
      </c>
      <c r="L33" s="15">
        <v>0</v>
      </c>
      <c r="M33" s="15">
        <v>0</v>
      </c>
      <c r="N33" s="15">
        <v>0</v>
      </c>
      <c r="O33" s="15">
        <v>15000</v>
      </c>
      <c r="P33" s="15">
        <v>0</v>
      </c>
      <c r="Q33" s="15">
        <v>0</v>
      </c>
      <c r="R33" s="15">
        <v>0</v>
      </c>
      <c r="S33" s="15">
        <v>46000</v>
      </c>
      <c r="T33" s="15">
        <v>37000</v>
      </c>
      <c r="U33" s="15">
        <v>7200</v>
      </c>
      <c r="V33" s="15">
        <v>0</v>
      </c>
      <c r="W33" s="15">
        <v>88000</v>
      </c>
      <c r="X33" s="15">
        <v>0</v>
      </c>
      <c r="Y33" s="15">
        <v>0</v>
      </c>
      <c r="Z33" s="15">
        <v>0</v>
      </c>
      <c r="AA33" s="15">
        <v>0</v>
      </c>
      <c r="AB33" s="15">
        <v>0</v>
      </c>
      <c r="AC33" s="15">
        <v>7200</v>
      </c>
      <c r="AD33" s="15">
        <v>0</v>
      </c>
      <c r="AE33" s="15">
        <v>0</v>
      </c>
      <c r="AF33" s="15">
        <v>0</v>
      </c>
      <c r="AG33" s="15">
        <v>0</v>
      </c>
      <c r="AH33" s="15">
        <v>0</v>
      </c>
      <c r="AI33" s="15">
        <v>0</v>
      </c>
      <c r="AJ33" s="15">
        <v>0</v>
      </c>
      <c r="AK33" s="15">
        <v>0</v>
      </c>
      <c r="AL33" s="15">
        <v>32000</v>
      </c>
      <c r="AM33" s="15">
        <v>0</v>
      </c>
      <c r="AN33" s="15">
        <v>7200</v>
      </c>
      <c r="AO33" s="15">
        <v>0</v>
      </c>
      <c r="AP33" s="15">
        <v>31000</v>
      </c>
      <c r="AQ33" s="15">
        <v>39000</v>
      </c>
      <c r="AR33" s="15">
        <v>0</v>
      </c>
      <c r="AS33" s="15">
        <v>0</v>
      </c>
      <c r="AT33" s="15">
        <v>80000</v>
      </c>
      <c r="AU33" s="15">
        <v>0</v>
      </c>
      <c r="AV33" s="15">
        <v>0</v>
      </c>
      <c r="AW33" s="15">
        <v>48000</v>
      </c>
      <c r="AX33" s="15">
        <v>5555.56</v>
      </c>
      <c r="AY33" s="15">
        <v>0</v>
      </c>
      <c r="AZ33" s="15">
        <v>25000</v>
      </c>
      <c r="BA33" s="15">
        <v>7200</v>
      </c>
      <c r="BB33" s="15">
        <v>7200</v>
      </c>
      <c r="BC33" s="15">
        <v>0</v>
      </c>
      <c r="BD33" s="15">
        <v>86000</v>
      </c>
      <c r="BE33" s="15">
        <v>48000</v>
      </c>
      <c r="BF33" s="15">
        <v>7200</v>
      </c>
      <c r="BG33" s="15">
        <v>7200</v>
      </c>
      <c r="BH33" s="15">
        <v>85000</v>
      </c>
      <c r="BI33" s="15">
        <v>0</v>
      </c>
      <c r="BJ33" s="15">
        <v>0</v>
      </c>
      <c r="BK33" s="15">
        <v>0</v>
      </c>
      <c r="BL33" s="15">
        <v>83000</v>
      </c>
      <c r="BM33" s="15">
        <v>48000</v>
      </c>
      <c r="BN33" s="15">
        <v>15000</v>
      </c>
      <c r="BO33" s="15">
        <v>0</v>
      </c>
      <c r="BP33" s="15">
        <v>50000</v>
      </c>
      <c r="BQ33" s="15">
        <v>39000</v>
      </c>
      <c r="BR33" s="15">
        <v>7200</v>
      </c>
      <c r="BS33" s="15">
        <v>0</v>
      </c>
      <c r="BT33" s="15">
        <v>0</v>
      </c>
      <c r="BU33" s="15">
        <v>0</v>
      </c>
      <c r="BV33" s="15">
        <v>81000</v>
      </c>
      <c r="BW33" s="15">
        <v>0</v>
      </c>
      <c r="BX33" s="15">
        <v>7200</v>
      </c>
      <c r="BY33" s="15">
        <v>7200</v>
      </c>
      <c r="BZ33" s="15">
        <v>0</v>
      </c>
      <c r="CA33" s="15">
        <v>7200</v>
      </c>
      <c r="CB33" s="15">
        <v>36000</v>
      </c>
      <c r="CC33" s="15">
        <v>7200</v>
      </c>
      <c r="CD33" s="15">
        <v>0</v>
      </c>
      <c r="CE33" s="15">
        <v>7200</v>
      </c>
      <c r="CF33" s="15">
        <v>0</v>
      </c>
      <c r="CG33" s="15">
        <v>44000</v>
      </c>
      <c r="CH33" s="15">
        <v>0</v>
      </c>
      <c r="CI33" s="15">
        <v>0</v>
      </c>
      <c r="CJ33" s="15">
        <v>0</v>
      </c>
      <c r="CK33" s="15">
        <v>0</v>
      </c>
      <c r="CL33" s="15">
        <v>0</v>
      </c>
      <c r="CM33" s="15">
        <v>0</v>
      </c>
      <c r="CN33" s="15">
        <v>7200</v>
      </c>
      <c r="CO33" s="15">
        <v>7200</v>
      </c>
      <c r="CP33" s="15">
        <v>0</v>
      </c>
      <c r="CQ33" s="15">
        <v>7200</v>
      </c>
      <c r="CR33" s="15">
        <v>7200</v>
      </c>
      <c r="CS33" s="15">
        <v>7200</v>
      </c>
      <c r="CT33" s="15">
        <v>0</v>
      </c>
      <c r="CU33" s="15">
        <v>7200</v>
      </c>
      <c r="CV33" s="15">
        <v>7200</v>
      </c>
      <c r="CW33" s="15">
        <v>7200</v>
      </c>
    </row>
    <row r="34" spans="1:101" x14ac:dyDescent="0.75">
      <c r="A34" s="22">
        <v>32</v>
      </c>
      <c r="B34" s="15">
        <v>0</v>
      </c>
      <c r="C34" s="15">
        <v>81000</v>
      </c>
      <c r="D34" s="15">
        <v>7200</v>
      </c>
      <c r="E34" s="15">
        <v>0</v>
      </c>
      <c r="F34" s="15">
        <v>43000</v>
      </c>
      <c r="G34" s="15">
        <v>54000</v>
      </c>
      <c r="H34" s="15">
        <v>95000</v>
      </c>
      <c r="I34" s="15">
        <v>7200</v>
      </c>
      <c r="J34" s="15">
        <v>77000</v>
      </c>
      <c r="K34" s="15">
        <v>0</v>
      </c>
      <c r="L34" s="15">
        <v>0</v>
      </c>
      <c r="M34" s="15">
        <v>0</v>
      </c>
      <c r="N34" s="15">
        <v>0</v>
      </c>
      <c r="O34" s="15">
        <v>15000</v>
      </c>
      <c r="P34" s="15">
        <v>0</v>
      </c>
      <c r="Q34" s="15">
        <v>0</v>
      </c>
      <c r="R34" s="15">
        <v>0</v>
      </c>
      <c r="S34" s="15">
        <v>47000</v>
      </c>
      <c r="T34" s="15">
        <v>38000</v>
      </c>
      <c r="U34" s="15">
        <v>7200</v>
      </c>
      <c r="V34" s="15">
        <v>0</v>
      </c>
      <c r="W34" s="15">
        <v>89000</v>
      </c>
      <c r="X34" s="15">
        <v>0</v>
      </c>
      <c r="Y34" s="15">
        <v>0</v>
      </c>
      <c r="Z34" s="15">
        <v>0</v>
      </c>
      <c r="AA34" s="15">
        <v>0</v>
      </c>
      <c r="AB34" s="15">
        <v>0</v>
      </c>
      <c r="AC34" s="15">
        <v>7200</v>
      </c>
      <c r="AD34" s="15">
        <v>0</v>
      </c>
      <c r="AE34" s="15">
        <v>0</v>
      </c>
      <c r="AF34" s="15">
        <v>0</v>
      </c>
      <c r="AG34" s="15">
        <v>0</v>
      </c>
      <c r="AH34" s="15">
        <v>0</v>
      </c>
      <c r="AI34" s="15">
        <v>0</v>
      </c>
      <c r="AJ34" s="15">
        <v>0</v>
      </c>
      <c r="AK34" s="15">
        <v>0</v>
      </c>
      <c r="AL34" s="15">
        <v>33000</v>
      </c>
      <c r="AM34" s="15">
        <v>0</v>
      </c>
      <c r="AN34" s="15">
        <v>7200</v>
      </c>
      <c r="AO34" s="15">
        <v>0</v>
      </c>
      <c r="AP34" s="15">
        <v>32000</v>
      </c>
      <c r="AQ34" s="15">
        <v>40000</v>
      </c>
      <c r="AR34" s="15">
        <v>0</v>
      </c>
      <c r="AS34" s="15">
        <v>0</v>
      </c>
      <c r="AT34" s="15">
        <v>81000</v>
      </c>
      <c r="AU34" s="15">
        <v>0</v>
      </c>
      <c r="AV34" s="15">
        <v>0</v>
      </c>
      <c r="AW34" s="15">
        <v>49000</v>
      </c>
      <c r="AX34" s="15">
        <v>0</v>
      </c>
      <c r="AY34" s="15">
        <v>0</v>
      </c>
      <c r="AZ34" s="15">
        <v>0</v>
      </c>
      <c r="BA34" s="15">
        <v>7200</v>
      </c>
      <c r="BB34" s="15">
        <v>7200</v>
      </c>
      <c r="BC34" s="15">
        <v>0</v>
      </c>
      <c r="BD34" s="15">
        <v>87000</v>
      </c>
      <c r="BE34" s="15">
        <v>49000</v>
      </c>
      <c r="BF34" s="15">
        <v>7200</v>
      </c>
      <c r="BG34" s="15">
        <v>7200</v>
      </c>
      <c r="BH34" s="15">
        <v>86000</v>
      </c>
      <c r="BI34" s="15">
        <v>0</v>
      </c>
      <c r="BJ34" s="15">
        <v>0</v>
      </c>
      <c r="BK34" s="15">
        <v>30000</v>
      </c>
      <c r="BL34" s="15">
        <v>84000</v>
      </c>
      <c r="BM34" s="15">
        <v>49000</v>
      </c>
      <c r="BN34" s="15">
        <v>15000</v>
      </c>
      <c r="BO34" s="15">
        <v>0</v>
      </c>
      <c r="BP34" s="15">
        <v>51000</v>
      </c>
      <c r="BQ34" s="15">
        <v>40000</v>
      </c>
      <c r="BR34" s="15">
        <v>7200</v>
      </c>
      <c r="BS34" s="15">
        <v>0</v>
      </c>
      <c r="BT34" s="15">
        <v>0</v>
      </c>
      <c r="BU34" s="15">
        <v>0</v>
      </c>
      <c r="BV34" s="15">
        <v>82000</v>
      </c>
      <c r="BW34" s="15">
        <v>0</v>
      </c>
      <c r="BX34" s="15">
        <v>7200</v>
      </c>
      <c r="BY34" s="15">
        <v>7200</v>
      </c>
      <c r="BZ34" s="15">
        <v>0</v>
      </c>
      <c r="CA34" s="15">
        <v>7200</v>
      </c>
      <c r="CB34" s="15">
        <v>37000</v>
      </c>
      <c r="CC34" s="15">
        <v>7200</v>
      </c>
      <c r="CD34" s="15">
        <v>0</v>
      </c>
      <c r="CE34" s="15">
        <v>7200</v>
      </c>
      <c r="CF34" s="15">
        <v>0</v>
      </c>
      <c r="CG34" s="15">
        <v>45000</v>
      </c>
      <c r="CH34" s="15">
        <v>0</v>
      </c>
      <c r="CI34" s="15">
        <v>0</v>
      </c>
      <c r="CJ34" s="15">
        <v>0</v>
      </c>
      <c r="CK34" s="15">
        <v>0</v>
      </c>
      <c r="CL34" s="15">
        <v>0</v>
      </c>
      <c r="CM34" s="15">
        <v>0</v>
      </c>
      <c r="CN34" s="15">
        <v>7200</v>
      </c>
      <c r="CO34" s="15">
        <v>7200</v>
      </c>
      <c r="CP34" s="15">
        <v>0</v>
      </c>
      <c r="CQ34" s="15">
        <v>7200</v>
      </c>
      <c r="CR34" s="15">
        <v>7200</v>
      </c>
      <c r="CS34" s="15">
        <v>7200</v>
      </c>
      <c r="CT34" s="15">
        <v>0</v>
      </c>
      <c r="CU34" s="15">
        <v>7200</v>
      </c>
      <c r="CV34" s="15">
        <v>7200</v>
      </c>
      <c r="CW34" s="15">
        <v>7200</v>
      </c>
    </row>
    <row r="35" spans="1:101" x14ac:dyDescent="0.75">
      <c r="A35" s="22">
        <v>33</v>
      </c>
      <c r="B35" s="15">
        <v>0</v>
      </c>
      <c r="C35" s="15">
        <v>82000</v>
      </c>
      <c r="D35" s="15">
        <v>7200</v>
      </c>
      <c r="E35" s="15">
        <v>0</v>
      </c>
      <c r="F35" s="15">
        <v>44000</v>
      </c>
      <c r="G35" s="15">
        <v>0</v>
      </c>
      <c r="H35" s="15">
        <v>96000</v>
      </c>
      <c r="I35" s="15">
        <v>7200</v>
      </c>
      <c r="J35" s="15">
        <v>78000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0</v>
      </c>
      <c r="Q35" s="15">
        <v>0</v>
      </c>
      <c r="R35" s="15">
        <v>0</v>
      </c>
      <c r="S35" s="15">
        <v>48000</v>
      </c>
      <c r="T35" s="15">
        <v>39000</v>
      </c>
      <c r="U35" s="15">
        <v>7200</v>
      </c>
      <c r="V35" s="15">
        <v>0</v>
      </c>
      <c r="W35" s="15">
        <v>90000</v>
      </c>
      <c r="X35" s="15">
        <v>0</v>
      </c>
      <c r="Y35" s="15">
        <v>0</v>
      </c>
      <c r="Z35" s="15">
        <v>0</v>
      </c>
      <c r="AA35" s="15">
        <v>0</v>
      </c>
      <c r="AB35" s="15">
        <v>0</v>
      </c>
      <c r="AC35" s="15">
        <v>7200</v>
      </c>
      <c r="AD35" s="15">
        <v>0</v>
      </c>
      <c r="AE35" s="15">
        <v>0</v>
      </c>
      <c r="AF35" s="15">
        <v>0</v>
      </c>
      <c r="AG35" s="15">
        <v>0</v>
      </c>
      <c r="AH35" s="15">
        <v>0</v>
      </c>
      <c r="AI35" s="15">
        <v>0</v>
      </c>
      <c r="AJ35" s="15">
        <v>0</v>
      </c>
      <c r="AK35" s="15">
        <v>0</v>
      </c>
      <c r="AL35" s="15">
        <v>34000</v>
      </c>
      <c r="AM35" s="15">
        <v>0</v>
      </c>
      <c r="AN35" s="15">
        <v>7200</v>
      </c>
      <c r="AO35" s="15">
        <v>0</v>
      </c>
      <c r="AP35" s="15">
        <v>33000</v>
      </c>
      <c r="AQ35" s="15">
        <v>41000</v>
      </c>
      <c r="AR35" s="15">
        <v>0</v>
      </c>
      <c r="AS35" s="15">
        <v>0</v>
      </c>
      <c r="AT35" s="15">
        <v>82000</v>
      </c>
      <c r="AU35" s="15">
        <v>0</v>
      </c>
      <c r="AV35" s="15">
        <v>0</v>
      </c>
      <c r="AW35" s="15">
        <v>50000</v>
      </c>
      <c r="AX35" s="15">
        <v>0</v>
      </c>
      <c r="AY35" s="15">
        <v>0</v>
      </c>
      <c r="AZ35" s="15">
        <v>0</v>
      </c>
      <c r="BA35" s="15">
        <v>7200</v>
      </c>
      <c r="BB35" s="15">
        <v>7200</v>
      </c>
      <c r="BC35" s="15">
        <v>0</v>
      </c>
      <c r="BD35" s="15">
        <v>88000</v>
      </c>
      <c r="BE35" s="15">
        <v>50000</v>
      </c>
      <c r="BF35" s="15">
        <v>7200</v>
      </c>
      <c r="BG35" s="15">
        <v>7200</v>
      </c>
      <c r="BH35" s="15">
        <v>87000</v>
      </c>
      <c r="BI35" s="15">
        <v>0</v>
      </c>
      <c r="BJ35" s="15">
        <v>0</v>
      </c>
      <c r="BK35" s="15">
        <v>0</v>
      </c>
      <c r="BL35" s="15">
        <v>85000</v>
      </c>
      <c r="BM35" s="15">
        <v>50000</v>
      </c>
      <c r="BN35" s="15">
        <v>0</v>
      </c>
      <c r="BO35" s="15">
        <v>0</v>
      </c>
      <c r="BP35" s="15">
        <v>52000</v>
      </c>
      <c r="BQ35" s="15">
        <v>41000</v>
      </c>
      <c r="BR35" s="15">
        <v>7200</v>
      </c>
      <c r="BS35" s="15">
        <v>0</v>
      </c>
      <c r="BT35" s="15">
        <v>0</v>
      </c>
      <c r="BU35" s="15">
        <v>0</v>
      </c>
      <c r="BV35" s="15">
        <v>83000</v>
      </c>
      <c r="BW35" s="15">
        <v>0</v>
      </c>
      <c r="BX35" s="15">
        <v>7200</v>
      </c>
      <c r="BY35" s="15">
        <v>7200</v>
      </c>
      <c r="BZ35" s="15">
        <v>0</v>
      </c>
      <c r="CA35" s="15">
        <v>7200</v>
      </c>
      <c r="CB35" s="15">
        <v>38000</v>
      </c>
      <c r="CC35" s="15">
        <v>7200</v>
      </c>
      <c r="CD35" s="15">
        <v>0</v>
      </c>
      <c r="CE35" s="15">
        <v>7200</v>
      </c>
      <c r="CF35" s="15">
        <v>0</v>
      </c>
      <c r="CG35" s="15">
        <v>46000</v>
      </c>
      <c r="CH35" s="15">
        <v>0</v>
      </c>
      <c r="CI35" s="15">
        <v>0</v>
      </c>
      <c r="CJ35" s="15">
        <v>0</v>
      </c>
      <c r="CK35" s="15">
        <v>0</v>
      </c>
      <c r="CL35" s="15">
        <v>0</v>
      </c>
      <c r="CM35" s="15">
        <v>0</v>
      </c>
      <c r="CN35" s="15">
        <v>7200</v>
      </c>
      <c r="CO35" s="15">
        <v>7200</v>
      </c>
      <c r="CP35" s="15">
        <v>0</v>
      </c>
      <c r="CQ35" s="15">
        <v>7200</v>
      </c>
      <c r="CR35" s="15">
        <v>7200</v>
      </c>
      <c r="CS35" s="15">
        <v>7200</v>
      </c>
      <c r="CT35" s="15">
        <v>0</v>
      </c>
      <c r="CU35" s="15">
        <v>7200</v>
      </c>
      <c r="CV35" s="15">
        <v>7200</v>
      </c>
      <c r="CW35" s="15">
        <v>7200</v>
      </c>
    </row>
    <row r="36" spans="1:101" x14ac:dyDescent="0.75">
      <c r="A36" s="22">
        <v>34</v>
      </c>
      <c r="B36" s="15">
        <v>0</v>
      </c>
      <c r="C36" s="15">
        <v>83000</v>
      </c>
      <c r="D36" s="15">
        <v>7200</v>
      </c>
      <c r="E36" s="15">
        <v>0</v>
      </c>
      <c r="F36" s="15">
        <v>45000</v>
      </c>
      <c r="G36" s="15">
        <v>0</v>
      </c>
      <c r="H36" s="15">
        <v>97000</v>
      </c>
      <c r="I36" s="15">
        <v>7200</v>
      </c>
      <c r="J36" s="15">
        <v>79000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49000</v>
      </c>
      <c r="T36" s="15">
        <v>40000</v>
      </c>
      <c r="U36" s="15">
        <v>7200</v>
      </c>
      <c r="V36" s="15">
        <v>0</v>
      </c>
      <c r="W36" s="15">
        <v>91000</v>
      </c>
      <c r="X36" s="15">
        <v>0</v>
      </c>
      <c r="Y36" s="15">
        <v>0</v>
      </c>
      <c r="Z36" s="15">
        <v>0</v>
      </c>
      <c r="AA36" s="15">
        <v>0</v>
      </c>
      <c r="AB36" s="15">
        <v>0</v>
      </c>
      <c r="AC36" s="15">
        <v>7200</v>
      </c>
      <c r="AD36" s="15">
        <v>0</v>
      </c>
      <c r="AE36" s="15">
        <v>0</v>
      </c>
      <c r="AF36" s="15">
        <v>0</v>
      </c>
      <c r="AG36" s="15">
        <v>0</v>
      </c>
      <c r="AH36" s="15">
        <v>0</v>
      </c>
      <c r="AI36" s="15">
        <v>0</v>
      </c>
      <c r="AJ36" s="15">
        <v>0</v>
      </c>
      <c r="AK36" s="15">
        <v>0</v>
      </c>
      <c r="AL36" s="15">
        <v>35000</v>
      </c>
      <c r="AM36" s="15">
        <v>0</v>
      </c>
      <c r="AN36" s="15">
        <v>7200</v>
      </c>
      <c r="AO36" s="15">
        <v>0</v>
      </c>
      <c r="AP36" s="15">
        <v>34000</v>
      </c>
      <c r="AQ36" s="15">
        <v>42000</v>
      </c>
      <c r="AR36" s="15">
        <v>0</v>
      </c>
      <c r="AS36" s="15">
        <v>0</v>
      </c>
      <c r="AT36" s="15">
        <v>83000</v>
      </c>
      <c r="AU36" s="15">
        <v>0</v>
      </c>
      <c r="AV36" s="15">
        <v>0</v>
      </c>
      <c r="AW36" s="15">
        <v>51000</v>
      </c>
      <c r="AX36" s="15">
        <v>0</v>
      </c>
      <c r="AY36" s="15">
        <v>0</v>
      </c>
      <c r="AZ36" s="15">
        <v>0</v>
      </c>
      <c r="BA36" s="15">
        <v>7200</v>
      </c>
      <c r="BB36" s="15">
        <v>7200</v>
      </c>
      <c r="BC36" s="15">
        <v>0</v>
      </c>
      <c r="BD36" s="15">
        <v>89000</v>
      </c>
      <c r="BE36" s="15">
        <v>51000</v>
      </c>
      <c r="BF36" s="15">
        <v>7200</v>
      </c>
      <c r="BG36" s="15">
        <v>7200</v>
      </c>
      <c r="BH36" s="15">
        <v>88000</v>
      </c>
      <c r="BI36" s="15">
        <v>0</v>
      </c>
      <c r="BJ36" s="15">
        <v>0</v>
      </c>
      <c r="BK36" s="15">
        <v>0</v>
      </c>
      <c r="BL36" s="15">
        <v>86000</v>
      </c>
      <c r="BM36" s="15">
        <v>51000</v>
      </c>
      <c r="BN36" s="15">
        <v>0</v>
      </c>
      <c r="BO36" s="15">
        <v>0</v>
      </c>
      <c r="BP36" s="15">
        <v>53000</v>
      </c>
      <c r="BQ36" s="15">
        <v>42000</v>
      </c>
      <c r="BR36" s="15">
        <v>7200</v>
      </c>
      <c r="BS36" s="15">
        <v>0</v>
      </c>
      <c r="BT36" s="15">
        <v>0</v>
      </c>
      <c r="BU36" s="15">
        <v>0</v>
      </c>
      <c r="BV36" s="15">
        <v>84000</v>
      </c>
      <c r="BW36" s="15">
        <v>0</v>
      </c>
      <c r="BX36" s="15">
        <v>7200</v>
      </c>
      <c r="BY36" s="15">
        <v>7200</v>
      </c>
      <c r="BZ36" s="15">
        <v>0</v>
      </c>
      <c r="CA36" s="15">
        <v>7200</v>
      </c>
      <c r="CB36" s="15">
        <v>39000</v>
      </c>
      <c r="CC36" s="15">
        <v>7200</v>
      </c>
      <c r="CD36" s="15">
        <v>0</v>
      </c>
      <c r="CE36" s="15">
        <v>7200</v>
      </c>
      <c r="CF36" s="15">
        <v>0</v>
      </c>
      <c r="CG36" s="15">
        <v>47000</v>
      </c>
      <c r="CH36" s="15">
        <v>0</v>
      </c>
      <c r="CI36" s="15">
        <v>0</v>
      </c>
      <c r="CJ36" s="15">
        <v>0</v>
      </c>
      <c r="CK36" s="15">
        <v>0</v>
      </c>
      <c r="CL36" s="15">
        <v>0</v>
      </c>
      <c r="CM36" s="15">
        <v>0</v>
      </c>
      <c r="CN36" s="15">
        <v>7200</v>
      </c>
      <c r="CO36" s="15">
        <v>7200</v>
      </c>
      <c r="CP36" s="15">
        <v>0</v>
      </c>
      <c r="CQ36" s="15">
        <v>7200</v>
      </c>
      <c r="CR36" s="15">
        <v>7200</v>
      </c>
      <c r="CS36" s="15">
        <v>7200</v>
      </c>
      <c r="CT36" s="15">
        <v>0</v>
      </c>
      <c r="CU36" s="15">
        <v>7200</v>
      </c>
      <c r="CV36" s="15">
        <v>7200</v>
      </c>
      <c r="CW36" s="15">
        <v>7200</v>
      </c>
    </row>
    <row r="37" spans="1:101" x14ac:dyDescent="0.75">
      <c r="A37" s="22">
        <v>35</v>
      </c>
      <c r="B37" s="15">
        <v>0</v>
      </c>
      <c r="C37" s="15">
        <v>84000</v>
      </c>
      <c r="D37" s="15">
        <v>7200</v>
      </c>
      <c r="E37" s="15">
        <v>0</v>
      </c>
      <c r="F37" s="15">
        <v>46000</v>
      </c>
      <c r="G37" s="15">
        <v>0</v>
      </c>
      <c r="H37" s="15">
        <v>98000</v>
      </c>
      <c r="I37" s="15">
        <v>7200</v>
      </c>
      <c r="J37" s="15">
        <v>80000</v>
      </c>
      <c r="K37" s="15">
        <v>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50000</v>
      </c>
      <c r="T37" s="15">
        <v>41000</v>
      </c>
      <c r="U37" s="15">
        <v>7200</v>
      </c>
      <c r="V37" s="15">
        <v>0</v>
      </c>
      <c r="W37" s="15">
        <v>92000</v>
      </c>
      <c r="X37" s="15">
        <v>0</v>
      </c>
      <c r="Y37" s="15">
        <v>0</v>
      </c>
      <c r="Z37" s="15">
        <v>0</v>
      </c>
      <c r="AA37" s="15">
        <v>0</v>
      </c>
      <c r="AB37" s="15">
        <v>0</v>
      </c>
      <c r="AC37" s="15">
        <v>7200</v>
      </c>
      <c r="AD37" s="15">
        <v>0</v>
      </c>
      <c r="AE37" s="15">
        <v>0</v>
      </c>
      <c r="AF37" s="15">
        <v>0</v>
      </c>
      <c r="AG37" s="15">
        <v>0</v>
      </c>
      <c r="AH37" s="15">
        <v>0</v>
      </c>
      <c r="AI37" s="15">
        <v>0</v>
      </c>
      <c r="AJ37" s="15">
        <v>0</v>
      </c>
      <c r="AK37" s="15">
        <v>0</v>
      </c>
      <c r="AL37" s="15">
        <v>36000</v>
      </c>
      <c r="AM37" s="15">
        <v>0</v>
      </c>
      <c r="AN37" s="15">
        <v>7200</v>
      </c>
      <c r="AO37" s="15">
        <v>0</v>
      </c>
      <c r="AP37" s="15">
        <v>35000</v>
      </c>
      <c r="AQ37" s="15">
        <v>43000</v>
      </c>
      <c r="AR37" s="15">
        <v>0</v>
      </c>
      <c r="AS37" s="15">
        <v>0</v>
      </c>
      <c r="AT37" s="15">
        <v>84000</v>
      </c>
      <c r="AU37" s="15">
        <v>0</v>
      </c>
      <c r="AV37" s="15">
        <v>0</v>
      </c>
      <c r="AW37" s="15">
        <v>52000</v>
      </c>
      <c r="AX37" s="15">
        <v>0</v>
      </c>
      <c r="AY37" s="15">
        <v>0</v>
      </c>
      <c r="AZ37" s="15">
        <v>0</v>
      </c>
      <c r="BA37" s="15">
        <v>7200</v>
      </c>
      <c r="BB37" s="15">
        <v>7200</v>
      </c>
      <c r="BC37" s="15">
        <v>0</v>
      </c>
      <c r="BD37" s="15">
        <v>90000</v>
      </c>
      <c r="BE37" s="15">
        <v>52000</v>
      </c>
      <c r="BF37" s="15">
        <v>7200</v>
      </c>
      <c r="BG37" s="15">
        <v>7200</v>
      </c>
      <c r="BH37" s="15">
        <v>89000</v>
      </c>
      <c r="BI37" s="15">
        <v>0</v>
      </c>
      <c r="BJ37" s="15">
        <v>0</v>
      </c>
      <c r="BK37" s="15">
        <v>0</v>
      </c>
      <c r="BL37" s="15">
        <v>87000</v>
      </c>
      <c r="BM37" s="15">
        <v>52000</v>
      </c>
      <c r="BN37" s="15">
        <v>0</v>
      </c>
      <c r="BO37" s="15">
        <v>0</v>
      </c>
      <c r="BP37" s="15">
        <v>54000</v>
      </c>
      <c r="BQ37" s="15">
        <v>43000</v>
      </c>
      <c r="BR37" s="15">
        <v>7200</v>
      </c>
      <c r="BS37" s="15">
        <v>0</v>
      </c>
      <c r="BT37" s="15">
        <v>0</v>
      </c>
      <c r="BU37" s="15">
        <v>0</v>
      </c>
      <c r="BV37" s="15">
        <v>85000</v>
      </c>
      <c r="BW37" s="15">
        <v>0</v>
      </c>
      <c r="BX37" s="15">
        <v>7200</v>
      </c>
      <c r="BY37" s="15">
        <v>7200</v>
      </c>
      <c r="BZ37" s="15">
        <v>0</v>
      </c>
      <c r="CA37" s="15">
        <v>7200</v>
      </c>
      <c r="CB37" s="15">
        <v>40000</v>
      </c>
      <c r="CC37" s="15">
        <v>7200</v>
      </c>
      <c r="CD37" s="15">
        <v>0</v>
      </c>
      <c r="CE37" s="15">
        <v>7200</v>
      </c>
      <c r="CF37" s="15">
        <v>0</v>
      </c>
      <c r="CG37" s="15">
        <v>48000</v>
      </c>
      <c r="CH37" s="15">
        <v>0</v>
      </c>
      <c r="CI37" s="15">
        <v>0</v>
      </c>
      <c r="CJ37" s="15">
        <v>0</v>
      </c>
      <c r="CK37" s="15">
        <v>0</v>
      </c>
      <c r="CL37" s="15">
        <v>0</v>
      </c>
      <c r="CM37" s="15">
        <v>0</v>
      </c>
      <c r="CN37" s="15">
        <v>7200</v>
      </c>
      <c r="CO37" s="15">
        <v>7200</v>
      </c>
      <c r="CP37" s="15">
        <v>0</v>
      </c>
      <c r="CQ37" s="15">
        <v>7200</v>
      </c>
      <c r="CR37" s="15">
        <v>7200</v>
      </c>
      <c r="CS37" s="15">
        <v>7200</v>
      </c>
      <c r="CT37" s="15">
        <v>0</v>
      </c>
      <c r="CU37" s="15">
        <v>7200</v>
      </c>
      <c r="CV37" s="15">
        <v>7200</v>
      </c>
      <c r="CW37" s="15">
        <v>7200</v>
      </c>
    </row>
    <row r="38" spans="1:101" x14ac:dyDescent="0.75">
      <c r="A38" s="22">
        <v>36</v>
      </c>
      <c r="B38" s="15">
        <v>0</v>
      </c>
      <c r="C38" s="15">
        <v>85000</v>
      </c>
      <c r="D38" s="15">
        <v>7200</v>
      </c>
      <c r="E38" s="15">
        <v>0</v>
      </c>
      <c r="F38" s="15">
        <v>47000</v>
      </c>
      <c r="G38" s="15">
        <v>0</v>
      </c>
      <c r="H38" s="15">
        <v>99000</v>
      </c>
      <c r="I38" s="15">
        <v>7200</v>
      </c>
      <c r="J38" s="15">
        <v>81000</v>
      </c>
      <c r="K38" s="15">
        <v>0</v>
      </c>
      <c r="L38" s="15">
        <v>0</v>
      </c>
      <c r="M38" s="15">
        <v>0</v>
      </c>
      <c r="N38" s="15">
        <v>0</v>
      </c>
      <c r="O38" s="15">
        <v>0</v>
      </c>
      <c r="P38" s="15">
        <v>0</v>
      </c>
      <c r="Q38" s="15">
        <v>0</v>
      </c>
      <c r="R38" s="15">
        <v>0</v>
      </c>
      <c r="S38" s="15">
        <v>51000</v>
      </c>
      <c r="T38" s="15">
        <v>42000</v>
      </c>
      <c r="U38" s="15">
        <v>7200</v>
      </c>
      <c r="V38" s="15">
        <v>0</v>
      </c>
      <c r="W38" s="15">
        <v>93000</v>
      </c>
      <c r="X38" s="15">
        <v>0</v>
      </c>
      <c r="Y38" s="15">
        <v>0</v>
      </c>
      <c r="Z38" s="15">
        <v>0</v>
      </c>
      <c r="AA38" s="15">
        <v>0</v>
      </c>
      <c r="AB38" s="15">
        <v>0</v>
      </c>
      <c r="AC38" s="15">
        <v>7200</v>
      </c>
      <c r="AD38" s="15">
        <v>0</v>
      </c>
      <c r="AE38" s="15">
        <v>0</v>
      </c>
      <c r="AF38" s="15">
        <v>0</v>
      </c>
      <c r="AG38" s="15">
        <v>0</v>
      </c>
      <c r="AH38" s="15">
        <v>0</v>
      </c>
      <c r="AI38" s="15">
        <v>0</v>
      </c>
      <c r="AJ38" s="15">
        <v>0</v>
      </c>
      <c r="AK38" s="15">
        <v>0</v>
      </c>
      <c r="AL38" s="15">
        <v>37000</v>
      </c>
      <c r="AM38" s="15">
        <v>0</v>
      </c>
      <c r="AN38" s="15">
        <v>7200</v>
      </c>
      <c r="AO38" s="15">
        <v>0</v>
      </c>
      <c r="AP38" s="15">
        <v>36000</v>
      </c>
      <c r="AQ38" s="15">
        <v>44000</v>
      </c>
      <c r="AR38" s="15">
        <v>0</v>
      </c>
      <c r="AS38" s="15">
        <v>0</v>
      </c>
      <c r="AT38" s="15">
        <v>85000</v>
      </c>
      <c r="AU38" s="15">
        <v>0</v>
      </c>
      <c r="AV38" s="15">
        <v>0</v>
      </c>
      <c r="AW38" s="15">
        <v>53000</v>
      </c>
      <c r="AX38" s="15">
        <v>0</v>
      </c>
      <c r="AY38" s="15">
        <v>0</v>
      </c>
      <c r="AZ38" s="15">
        <v>0</v>
      </c>
      <c r="BA38" s="15">
        <v>7200</v>
      </c>
      <c r="BB38" s="15">
        <v>7200</v>
      </c>
      <c r="BC38" s="15">
        <v>0</v>
      </c>
      <c r="BD38" s="15">
        <v>91000</v>
      </c>
      <c r="BE38" s="15">
        <v>53000</v>
      </c>
      <c r="BF38" s="15">
        <v>7200</v>
      </c>
      <c r="BG38" s="15">
        <v>7200</v>
      </c>
      <c r="BH38" s="15">
        <v>90000</v>
      </c>
      <c r="BI38" s="15">
        <v>0</v>
      </c>
      <c r="BJ38" s="15">
        <v>0</v>
      </c>
      <c r="BK38" s="15">
        <v>0</v>
      </c>
      <c r="BL38" s="15">
        <v>88000</v>
      </c>
      <c r="BM38" s="15">
        <v>53000</v>
      </c>
      <c r="BN38" s="15">
        <v>0</v>
      </c>
      <c r="BO38" s="15">
        <v>0</v>
      </c>
      <c r="BP38" s="15">
        <v>0</v>
      </c>
      <c r="BQ38" s="15">
        <v>44000</v>
      </c>
      <c r="BR38" s="15">
        <v>7200</v>
      </c>
      <c r="BS38" s="15">
        <v>0</v>
      </c>
      <c r="BT38" s="15">
        <v>0</v>
      </c>
      <c r="BU38" s="15">
        <v>0</v>
      </c>
      <c r="BV38" s="15">
        <v>86000</v>
      </c>
      <c r="BW38" s="15">
        <v>0</v>
      </c>
      <c r="BX38" s="15">
        <v>7200</v>
      </c>
      <c r="BY38" s="15">
        <v>7200</v>
      </c>
      <c r="BZ38" s="15">
        <v>0</v>
      </c>
      <c r="CA38" s="15">
        <v>7200</v>
      </c>
      <c r="CB38" s="15">
        <v>41000</v>
      </c>
      <c r="CC38" s="15">
        <v>7200</v>
      </c>
      <c r="CD38" s="15">
        <v>0</v>
      </c>
      <c r="CE38" s="15">
        <v>7200</v>
      </c>
      <c r="CF38" s="15">
        <v>0</v>
      </c>
      <c r="CG38" s="15">
        <v>49000</v>
      </c>
      <c r="CH38" s="15">
        <v>0</v>
      </c>
      <c r="CI38" s="15">
        <v>0</v>
      </c>
      <c r="CJ38" s="15">
        <v>0</v>
      </c>
      <c r="CK38" s="15">
        <v>0</v>
      </c>
      <c r="CL38" s="15">
        <v>0</v>
      </c>
      <c r="CM38" s="15">
        <v>0</v>
      </c>
      <c r="CN38" s="15">
        <v>7200</v>
      </c>
      <c r="CO38" s="15">
        <v>7200</v>
      </c>
      <c r="CP38" s="15">
        <v>0</v>
      </c>
      <c r="CQ38" s="15">
        <v>7200</v>
      </c>
      <c r="CR38" s="15">
        <v>7200</v>
      </c>
      <c r="CS38" s="15">
        <v>7200</v>
      </c>
      <c r="CT38" s="15">
        <v>0</v>
      </c>
      <c r="CU38" s="15">
        <v>7200</v>
      </c>
      <c r="CV38" s="15">
        <v>7200</v>
      </c>
      <c r="CW38" s="15">
        <v>7200</v>
      </c>
    </row>
    <row r="39" spans="1:101" x14ac:dyDescent="0.75">
      <c r="A39" s="22">
        <v>37</v>
      </c>
      <c r="B39" s="15">
        <v>0</v>
      </c>
      <c r="C39" s="15">
        <v>86000</v>
      </c>
      <c r="D39" s="15">
        <v>7200</v>
      </c>
      <c r="E39" s="15">
        <v>0</v>
      </c>
      <c r="F39" s="15">
        <v>48000</v>
      </c>
      <c r="G39" s="15">
        <v>0</v>
      </c>
      <c r="H39" s="15">
        <v>0</v>
      </c>
      <c r="I39" s="15">
        <v>7200</v>
      </c>
      <c r="J39" s="15">
        <v>82000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52000</v>
      </c>
      <c r="T39" s="15">
        <v>43000</v>
      </c>
      <c r="U39" s="15">
        <v>7200</v>
      </c>
      <c r="V39" s="15">
        <v>0</v>
      </c>
      <c r="W39" s="15">
        <v>94000</v>
      </c>
      <c r="X39" s="15">
        <v>0</v>
      </c>
      <c r="Y39" s="15">
        <v>0</v>
      </c>
      <c r="Z39" s="15">
        <v>0</v>
      </c>
      <c r="AA39" s="15">
        <v>0</v>
      </c>
      <c r="AB39" s="15">
        <v>0</v>
      </c>
      <c r="AC39" s="15">
        <v>7200</v>
      </c>
      <c r="AD39" s="15">
        <v>0</v>
      </c>
      <c r="AE39" s="15">
        <v>0</v>
      </c>
      <c r="AF39" s="15">
        <v>0</v>
      </c>
      <c r="AG39" s="15">
        <v>0</v>
      </c>
      <c r="AH39" s="15">
        <v>0</v>
      </c>
      <c r="AI39" s="15">
        <v>0</v>
      </c>
      <c r="AJ39" s="15">
        <v>0</v>
      </c>
      <c r="AK39" s="15">
        <v>0</v>
      </c>
      <c r="AL39" s="15">
        <v>38000</v>
      </c>
      <c r="AM39" s="15">
        <v>0</v>
      </c>
      <c r="AN39" s="15">
        <v>7200</v>
      </c>
      <c r="AO39" s="15">
        <v>0</v>
      </c>
      <c r="AP39" s="15">
        <v>37000</v>
      </c>
      <c r="AQ39" s="15">
        <v>45000</v>
      </c>
      <c r="AR39" s="15">
        <v>0</v>
      </c>
      <c r="AS39" s="15">
        <v>0</v>
      </c>
      <c r="AT39" s="15">
        <v>86000</v>
      </c>
      <c r="AU39" s="15">
        <v>0</v>
      </c>
      <c r="AV39" s="15">
        <v>0</v>
      </c>
      <c r="AW39" s="15">
        <v>54000</v>
      </c>
      <c r="AX39" s="15">
        <v>0</v>
      </c>
      <c r="AY39" s="15">
        <v>0</v>
      </c>
      <c r="AZ39" s="15">
        <v>0</v>
      </c>
      <c r="BA39" s="15">
        <v>7200</v>
      </c>
      <c r="BB39" s="15">
        <v>7200</v>
      </c>
      <c r="BC39" s="15">
        <v>0</v>
      </c>
      <c r="BD39" s="15">
        <v>92000</v>
      </c>
      <c r="BE39" s="15">
        <v>54000</v>
      </c>
      <c r="BF39" s="15">
        <v>7200</v>
      </c>
      <c r="BG39" s="15">
        <v>7200</v>
      </c>
      <c r="BH39" s="15">
        <v>91000</v>
      </c>
      <c r="BI39" s="15">
        <v>0</v>
      </c>
      <c r="BJ39" s="15">
        <v>0</v>
      </c>
      <c r="BK39" s="15">
        <v>0</v>
      </c>
      <c r="BL39" s="15">
        <v>89000</v>
      </c>
      <c r="BM39" s="15">
        <v>54000</v>
      </c>
      <c r="BN39" s="15">
        <v>0</v>
      </c>
      <c r="BO39" s="15">
        <v>0</v>
      </c>
      <c r="BP39" s="15">
        <v>0</v>
      </c>
      <c r="BQ39" s="15">
        <v>45000</v>
      </c>
      <c r="BR39" s="15">
        <v>7200</v>
      </c>
      <c r="BS39" s="15">
        <v>0</v>
      </c>
      <c r="BT39" s="15">
        <v>0</v>
      </c>
      <c r="BU39" s="15">
        <v>0</v>
      </c>
      <c r="BV39" s="15">
        <v>87000</v>
      </c>
      <c r="BW39" s="15">
        <v>0</v>
      </c>
      <c r="BX39" s="15">
        <v>7200</v>
      </c>
      <c r="BY39" s="15">
        <v>7200</v>
      </c>
      <c r="BZ39" s="15">
        <v>0</v>
      </c>
      <c r="CA39" s="15">
        <v>7200</v>
      </c>
      <c r="CB39" s="15">
        <v>42000</v>
      </c>
      <c r="CC39" s="15">
        <v>7200</v>
      </c>
      <c r="CD39" s="15">
        <v>0</v>
      </c>
      <c r="CE39" s="15">
        <v>7200</v>
      </c>
      <c r="CF39" s="15">
        <v>0</v>
      </c>
      <c r="CG39" s="15">
        <v>50000</v>
      </c>
      <c r="CH39" s="15">
        <v>0</v>
      </c>
      <c r="CI39" s="15">
        <v>0</v>
      </c>
      <c r="CJ39" s="15">
        <v>0</v>
      </c>
      <c r="CK39" s="15">
        <v>0</v>
      </c>
      <c r="CL39" s="15">
        <v>0</v>
      </c>
      <c r="CM39" s="15">
        <v>0</v>
      </c>
      <c r="CN39" s="15">
        <v>7200</v>
      </c>
      <c r="CO39" s="15">
        <v>7200</v>
      </c>
      <c r="CP39" s="15">
        <v>0</v>
      </c>
      <c r="CQ39" s="15">
        <v>7200</v>
      </c>
      <c r="CR39" s="15">
        <v>7200</v>
      </c>
      <c r="CS39" s="15">
        <v>7200</v>
      </c>
      <c r="CT39" s="15">
        <v>0</v>
      </c>
      <c r="CU39" s="15">
        <v>7200</v>
      </c>
      <c r="CV39" s="15">
        <v>7200</v>
      </c>
      <c r="CW39" s="15">
        <v>7200</v>
      </c>
    </row>
    <row r="40" spans="1:101" x14ac:dyDescent="0.75">
      <c r="A40" s="22">
        <v>38</v>
      </c>
      <c r="B40" s="15">
        <v>0</v>
      </c>
      <c r="C40" s="15">
        <v>87000</v>
      </c>
      <c r="D40" s="15">
        <v>7200</v>
      </c>
      <c r="E40" s="15">
        <v>0</v>
      </c>
      <c r="F40" s="15">
        <v>49000</v>
      </c>
      <c r="G40" s="15">
        <v>0</v>
      </c>
      <c r="H40" s="15">
        <v>0</v>
      </c>
      <c r="I40" s="15">
        <v>7200</v>
      </c>
      <c r="J40" s="15">
        <v>83000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53000</v>
      </c>
      <c r="T40" s="15">
        <v>44000</v>
      </c>
      <c r="U40" s="15">
        <v>7200</v>
      </c>
      <c r="V40" s="15">
        <v>0</v>
      </c>
      <c r="W40" s="15">
        <v>95000</v>
      </c>
      <c r="X40" s="15">
        <v>0</v>
      </c>
      <c r="Y40" s="15">
        <v>0</v>
      </c>
      <c r="Z40" s="15">
        <v>0</v>
      </c>
      <c r="AA40" s="15">
        <v>0</v>
      </c>
      <c r="AB40" s="15">
        <v>0</v>
      </c>
      <c r="AC40" s="15">
        <v>7200</v>
      </c>
      <c r="AD40" s="15">
        <v>0</v>
      </c>
      <c r="AE40" s="15">
        <v>0</v>
      </c>
      <c r="AF40" s="15">
        <v>0</v>
      </c>
      <c r="AG40" s="15">
        <v>0</v>
      </c>
      <c r="AH40" s="15">
        <v>0</v>
      </c>
      <c r="AI40" s="15">
        <v>0</v>
      </c>
      <c r="AJ40" s="15">
        <v>0</v>
      </c>
      <c r="AK40" s="15">
        <v>0</v>
      </c>
      <c r="AL40" s="15">
        <v>39000</v>
      </c>
      <c r="AM40" s="15">
        <v>0</v>
      </c>
      <c r="AN40" s="15">
        <v>7200</v>
      </c>
      <c r="AO40" s="15">
        <v>0</v>
      </c>
      <c r="AP40" s="15">
        <v>38000</v>
      </c>
      <c r="AQ40" s="15">
        <v>46000</v>
      </c>
      <c r="AR40" s="15">
        <v>0</v>
      </c>
      <c r="AS40" s="15">
        <v>0</v>
      </c>
      <c r="AT40" s="15">
        <v>87000</v>
      </c>
      <c r="AU40" s="15">
        <v>0</v>
      </c>
      <c r="AV40" s="15">
        <v>0</v>
      </c>
      <c r="AW40" s="15">
        <v>0</v>
      </c>
      <c r="AX40" s="15">
        <v>0</v>
      </c>
      <c r="AY40" s="15">
        <v>0</v>
      </c>
      <c r="AZ40" s="15">
        <v>0</v>
      </c>
      <c r="BA40" s="15">
        <v>7200</v>
      </c>
      <c r="BB40" s="15">
        <v>7200</v>
      </c>
      <c r="BC40" s="15">
        <v>0</v>
      </c>
      <c r="BD40" s="15">
        <v>93000</v>
      </c>
      <c r="BE40" s="15">
        <v>0</v>
      </c>
      <c r="BF40" s="15">
        <v>7200</v>
      </c>
      <c r="BG40" s="15">
        <v>7200</v>
      </c>
      <c r="BH40" s="15">
        <v>92000</v>
      </c>
      <c r="BI40" s="15">
        <v>0</v>
      </c>
      <c r="BJ40" s="15">
        <v>0</v>
      </c>
      <c r="BK40" s="15">
        <v>0</v>
      </c>
      <c r="BL40" s="15">
        <v>90000</v>
      </c>
      <c r="BM40" s="15">
        <v>0</v>
      </c>
      <c r="BN40" s="15">
        <v>0</v>
      </c>
      <c r="BO40" s="15">
        <v>0</v>
      </c>
      <c r="BP40" s="15">
        <v>0</v>
      </c>
      <c r="BQ40" s="15">
        <v>46000</v>
      </c>
      <c r="BR40" s="15">
        <v>7200</v>
      </c>
      <c r="BS40" s="15">
        <v>0</v>
      </c>
      <c r="BT40" s="15">
        <v>0</v>
      </c>
      <c r="BU40" s="15">
        <v>0</v>
      </c>
      <c r="BV40" s="15">
        <v>88000</v>
      </c>
      <c r="BW40" s="15">
        <v>0</v>
      </c>
      <c r="BX40" s="15">
        <v>7200</v>
      </c>
      <c r="BY40" s="15">
        <v>7200</v>
      </c>
      <c r="BZ40" s="15">
        <v>0</v>
      </c>
      <c r="CA40" s="15">
        <v>7200</v>
      </c>
      <c r="CB40" s="15">
        <v>43000</v>
      </c>
      <c r="CC40" s="15">
        <v>7200</v>
      </c>
      <c r="CD40" s="15">
        <v>0</v>
      </c>
      <c r="CE40" s="15">
        <v>7200</v>
      </c>
      <c r="CF40" s="15">
        <v>0</v>
      </c>
      <c r="CG40" s="15">
        <v>51000</v>
      </c>
      <c r="CH40" s="15">
        <v>0</v>
      </c>
      <c r="CI40" s="15">
        <v>0</v>
      </c>
      <c r="CJ40" s="15">
        <v>0</v>
      </c>
      <c r="CK40" s="15">
        <v>0</v>
      </c>
      <c r="CL40" s="15">
        <v>0</v>
      </c>
      <c r="CM40" s="15">
        <v>0</v>
      </c>
      <c r="CN40" s="15">
        <v>7200</v>
      </c>
      <c r="CO40" s="15">
        <v>7200</v>
      </c>
      <c r="CP40" s="15">
        <v>0</v>
      </c>
      <c r="CQ40" s="15">
        <v>7200</v>
      </c>
      <c r="CR40" s="15">
        <v>7200</v>
      </c>
      <c r="CS40" s="15">
        <v>7200</v>
      </c>
      <c r="CT40" s="15">
        <v>0</v>
      </c>
      <c r="CU40" s="15">
        <v>7200</v>
      </c>
      <c r="CV40" s="15">
        <v>7200</v>
      </c>
      <c r="CW40" s="15">
        <v>7200</v>
      </c>
    </row>
    <row r="41" spans="1:101" x14ac:dyDescent="0.75">
      <c r="A41" s="22">
        <v>39</v>
      </c>
      <c r="B41" s="15">
        <v>0</v>
      </c>
      <c r="C41" s="15">
        <v>88000</v>
      </c>
      <c r="D41" s="15">
        <v>7200</v>
      </c>
      <c r="E41" s="15">
        <v>0</v>
      </c>
      <c r="F41" s="15">
        <v>50000</v>
      </c>
      <c r="G41" s="15">
        <v>0</v>
      </c>
      <c r="H41" s="15">
        <v>0</v>
      </c>
      <c r="I41" s="15">
        <v>7200</v>
      </c>
      <c r="J41" s="15">
        <v>84000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0</v>
      </c>
      <c r="R41" s="15">
        <v>0</v>
      </c>
      <c r="S41" s="15">
        <v>54000</v>
      </c>
      <c r="T41" s="15">
        <v>45000</v>
      </c>
      <c r="U41" s="15">
        <v>7200</v>
      </c>
      <c r="V41" s="15">
        <v>0</v>
      </c>
      <c r="W41" s="15">
        <v>96000</v>
      </c>
      <c r="X41" s="15">
        <v>0</v>
      </c>
      <c r="Y41" s="15">
        <v>0</v>
      </c>
      <c r="Z41" s="15">
        <v>0</v>
      </c>
      <c r="AA41" s="15">
        <v>0</v>
      </c>
      <c r="AB41" s="15">
        <v>0</v>
      </c>
      <c r="AC41" s="15">
        <v>7200</v>
      </c>
      <c r="AD41" s="15">
        <v>0</v>
      </c>
      <c r="AE41" s="15">
        <v>0</v>
      </c>
      <c r="AF41" s="15">
        <v>0</v>
      </c>
      <c r="AG41" s="15">
        <v>0</v>
      </c>
      <c r="AH41" s="15">
        <v>0</v>
      </c>
      <c r="AI41" s="15">
        <v>0</v>
      </c>
      <c r="AJ41" s="15">
        <v>0</v>
      </c>
      <c r="AK41" s="15">
        <v>0</v>
      </c>
      <c r="AL41" s="15">
        <v>40000</v>
      </c>
      <c r="AM41" s="15">
        <v>0</v>
      </c>
      <c r="AN41" s="15">
        <v>7200</v>
      </c>
      <c r="AO41" s="15">
        <v>0</v>
      </c>
      <c r="AP41" s="15">
        <v>39000</v>
      </c>
      <c r="AQ41" s="15">
        <v>47000</v>
      </c>
      <c r="AR41" s="15">
        <v>0</v>
      </c>
      <c r="AS41" s="15">
        <v>0</v>
      </c>
      <c r="AT41" s="15">
        <v>88000</v>
      </c>
      <c r="AU41" s="15">
        <v>0</v>
      </c>
      <c r="AV41" s="15">
        <v>0</v>
      </c>
      <c r="AW41" s="15">
        <v>0</v>
      </c>
      <c r="AX41" s="15">
        <v>0</v>
      </c>
      <c r="AY41" s="15">
        <v>0</v>
      </c>
      <c r="AZ41" s="15">
        <v>0</v>
      </c>
      <c r="BA41" s="15">
        <v>7200</v>
      </c>
      <c r="BB41" s="15">
        <v>7200</v>
      </c>
      <c r="BC41" s="15">
        <v>0</v>
      </c>
      <c r="BD41" s="15">
        <v>94000</v>
      </c>
      <c r="BE41" s="15">
        <v>0</v>
      </c>
      <c r="BF41" s="15">
        <v>7200</v>
      </c>
      <c r="BG41" s="15">
        <v>7200</v>
      </c>
      <c r="BH41" s="15">
        <v>93000</v>
      </c>
      <c r="BI41" s="15">
        <v>0</v>
      </c>
      <c r="BJ41" s="15">
        <v>0</v>
      </c>
      <c r="BK41" s="15">
        <v>0</v>
      </c>
      <c r="BL41" s="15">
        <v>91000</v>
      </c>
      <c r="BM41" s="15">
        <v>0</v>
      </c>
      <c r="BN41" s="15">
        <v>0</v>
      </c>
      <c r="BO41" s="15">
        <v>0</v>
      </c>
      <c r="BP41" s="15">
        <v>0</v>
      </c>
      <c r="BQ41" s="15">
        <v>47000</v>
      </c>
      <c r="BR41" s="15">
        <v>7200</v>
      </c>
      <c r="BS41" s="15">
        <v>0</v>
      </c>
      <c r="BT41" s="15">
        <v>0</v>
      </c>
      <c r="BU41" s="15">
        <v>0</v>
      </c>
      <c r="BV41" s="15">
        <v>89000</v>
      </c>
      <c r="BW41" s="15">
        <v>0</v>
      </c>
      <c r="BX41" s="15">
        <v>7200</v>
      </c>
      <c r="BY41" s="15">
        <v>7200</v>
      </c>
      <c r="BZ41" s="15">
        <v>0</v>
      </c>
      <c r="CA41" s="15">
        <v>7200</v>
      </c>
      <c r="CB41" s="15">
        <v>44000</v>
      </c>
      <c r="CC41" s="15">
        <v>7200</v>
      </c>
      <c r="CD41" s="15">
        <v>0</v>
      </c>
      <c r="CE41" s="15">
        <v>7200</v>
      </c>
      <c r="CF41" s="15">
        <v>0</v>
      </c>
      <c r="CG41" s="15">
        <v>52000</v>
      </c>
      <c r="CH41" s="15">
        <v>0</v>
      </c>
      <c r="CI41" s="15">
        <v>0</v>
      </c>
      <c r="CJ41" s="15">
        <v>0</v>
      </c>
      <c r="CK41" s="15">
        <v>0</v>
      </c>
      <c r="CL41" s="15">
        <v>0</v>
      </c>
      <c r="CM41" s="15">
        <v>0</v>
      </c>
      <c r="CN41" s="15">
        <v>7200</v>
      </c>
      <c r="CO41" s="15">
        <v>7200</v>
      </c>
      <c r="CP41" s="15">
        <v>0</v>
      </c>
      <c r="CQ41" s="15">
        <v>7200</v>
      </c>
      <c r="CR41" s="15">
        <v>7200</v>
      </c>
      <c r="CS41" s="15">
        <v>7200</v>
      </c>
      <c r="CT41" s="15">
        <v>0</v>
      </c>
      <c r="CU41" s="15">
        <v>7200</v>
      </c>
      <c r="CV41" s="15">
        <v>7200</v>
      </c>
      <c r="CW41" s="15">
        <v>7200</v>
      </c>
    </row>
    <row r="42" spans="1:101" x14ac:dyDescent="0.75">
      <c r="A42" s="22">
        <v>40</v>
      </c>
      <c r="B42" s="15">
        <v>0</v>
      </c>
      <c r="C42" s="15">
        <v>89000</v>
      </c>
      <c r="D42" s="15">
        <v>7200</v>
      </c>
      <c r="E42" s="15">
        <v>0</v>
      </c>
      <c r="F42" s="15">
        <v>51000</v>
      </c>
      <c r="G42" s="15">
        <v>0</v>
      </c>
      <c r="H42" s="15">
        <v>0</v>
      </c>
      <c r="I42" s="15">
        <v>7200</v>
      </c>
      <c r="J42" s="15">
        <v>85000</v>
      </c>
      <c r="K42" s="15">
        <v>0</v>
      </c>
      <c r="L42" s="15">
        <v>0</v>
      </c>
      <c r="M42" s="15">
        <v>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46000</v>
      </c>
      <c r="U42" s="15">
        <v>7200</v>
      </c>
      <c r="V42" s="15">
        <v>0</v>
      </c>
      <c r="W42" s="15">
        <v>97000</v>
      </c>
      <c r="X42" s="15">
        <v>0</v>
      </c>
      <c r="Y42" s="15">
        <v>0</v>
      </c>
      <c r="Z42" s="15">
        <v>0</v>
      </c>
      <c r="AA42" s="15">
        <v>0</v>
      </c>
      <c r="AB42" s="15">
        <v>0</v>
      </c>
      <c r="AC42" s="15">
        <v>7200</v>
      </c>
      <c r="AD42" s="15">
        <v>0</v>
      </c>
      <c r="AE42" s="15">
        <v>0</v>
      </c>
      <c r="AF42" s="15">
        <v>0</v>
      </c>
      <c r="AG42" s="15">
        <v>0</v>
      </c>
      <c r="AH42" s="15">
        <v>0</v>
      </c>
      <c r="AI42" s="15">
        <v>0</v>
      </c>
      <c r="AJ42" s="15">
        <v>0</v>
      </c>
      <c r="AK42" s="15">
        <v>0</v>
      </c>
      <c r="AL42" s="15">
        <v>41000</v>
      </c>
      <c r="AM42" s="15">
        <v>0</v>
      </c>
      <c r="AN42" s="15">
        <v>7200</v>
      </c>
      <c r="AO42" s="15">
        <v>0</v>
      </c>
      <c r="AP42" s="15">
        <v>40000</v>
      </c>
      <c r="AQ42" s="15">
        <v>48000</v>
      </c>
      <c r="AR42" s="15">
        <v>0</v>
      </c>
      <c r="AS42" s="15">
        <v>0</v>
      </c>
      <c r="AT42" s="15">
        <v>89000</v>
      </c>
      <c r="AU42" s="15">
        <v>0</v>
      </c>
      <c r="AV42" s="15">
        <v>0</v>
      </c>
      <c r="AW42" s="15">
        <v>0</v>
      </c>
      <c r="AX42" s="15">
        <v>0</v>
      </c>
      <c r="AY42" s="15">
        <v>0</v>
      </c>
      <c r="AZ42" s="15">
        <v>0</v>
      </c>
      <c r="BA42" s="15">
        <v>7200</v>
      </c>
      <c r="BB42" s="15">
        <v>7200</v>
      </c>
      <c r="BC42" s="15">
        <v>0</v>
      </c>
      <c r="BD42" s="15">
        <v>95000</v>
      </c>
      <c r="BE42" s="15">
        <v>0</v>
      </c>
      <c r="BF42" s="15">
        <v>7200</v>
      </c>
      <c r="BG42" s="15">
        <v>7200</v>
      </c>
      <c r="BH42" s="15">
        <v>94000</v>
      </c>
      <c r="BI42" s="15">
        <v>0</v>
      </c>
      <c r="BJ42" s="15">
        <v>0</v>
      </c>
      <c r="BK42" s="15">
        <v>0</v>
      </c>
      <c r="BL42" s="15">
        <v>92000</v>
      </c>
      <c r="BM42" s="15">
        <v>0</v>
      </c>
      <c r="BN42" s="15">
        <v>0</v>
      </c>
      <c r="BO42" s="15">
        <v>0</v>
      </c>
      <c r="BP42" s="15">
        <v>0</v>
      </c>
      <c r="BQ42" s="15">
        <v>48000</v>
      </c>
      <c r="BR42" s="15">
        <v>7200</v>
      </c>
      <c r="BS42" s="15">
        <v>0</v>
      </c>
      <c r="BT42" s="15">
        <v>0</v>
      </c>
      <c r="BU42" s="15">
        <v>0</v>
      </c>
      <c r="BV42" s="15">
        <v>90000</v>
      </c>
      <c r="BW42" s="15">
        <v>0</v>
      </c>
      <c r="BX42" s="15">
        <v>7200</v>
      </c>
      <c r="BY42" s="15">
        <v>7200</v>
      </c>
      <c r="BZ42" s="15">
        <v>0</v>
      </c>
      <c r="CA42" s="15">
        <v>7200</v>
      </c>
      <c r="CB42" s="15">
        <v>45000</v>
      </c>
      <c r="CC42" s="15">
        <v>7200</v>
      </c>
      <c r="CD42" s="15">
        <v>0</v>
      </c>
      <c r="CE42" s="15">
        <v>7200</v>
      </c>
      <c r="CF42" s="15">
        <v>0</v>
      </c>
      <c r="CG42" s="15">
        <v>53000</v>
      </c>
      <c r="CH42" s="15">
        <v>0</v>
      </c>
      <c r="CI42" s="15">
        <v>0</v>
      </c>
      <c r="CJ42" s="15">
        <v>0</v>
      </c>
      <c r="CK42" s="15">
        <v>0</v>
      </c>
      <c r="CL42" s="15">
        <v>0</v>
      </c>
      <c r="CM42" s="15">
        <v>0</v>
      </c>
      <c r="CN42" s="15">
        <v>7200</v>
      </c>
      <c r="CO42" s="15">
        <v>7200</v>
      </c>
      <c r="CP42" s="15">
        <v>0</v>
      </c>
      <c r="CQ42" s="15">
        <v>7200</v>
      </c>
      <c r="CR42" s="15">
        <v>7200</v>
      </c>
      <c r="CS42" s="15">
        <v>7200</v>
      </c>
      <c r="CT42" s="15">
        <v>0</v>
      </c>
      <c r="CU42" s="15">
        <v>7200</v>
      </c>
      <c r="CV42" s="15">
        <v>7200</v>
      </c>
      <c r="CW42" s="15">
        <v>7200</v>
      </c>
    </row>
    <row r="43" spans="1:101" x14ac:dyDescent="0.75">
      <c r="A43" s="22">
        <v>41</v>
      </c>
      <c r="B43" s="15">
        <v>0</v>
      </c>
      <c r="C43" s="15">
        <v>90000</v>
      </c>
      <c r="D43" s="15">
        <v>7200</v>
      </c>
      <c r="E43" s="15">
        <v>0</v>
      </c>
      <c r="F43" s="15">
        <v>52000</v>
      </c>
      <c r="G43" s="15">
        <v>0</v>
      </c>
      <c r="H43" s="15">
        <v>0</v>
      </c>
      <c r="I43" s="15">
        <v>7200</v>
      </c>
      <c r="J43" s="15">
        <v>86000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47000</v>
      </c>
      <c r="U43" s="15">
        <v>7200</v>
      </c>
      <c r="V43" s="15">
        <v>0</v>
      </c>
      <c r="W43" s="15">
        <v>98000</v>
      </c>
      <c r="X43" s="15">
        <v>0</v>
      </c>
      <c r="Y43" s="15">
        <v>0</v>
      </c>
      <c r="Z43" s="15">
        <v>0</v>
      </c>
      <c r="AA43" s="15">
        <v>0</v>
      </c>
      <c r="AB43" s="15">
        <v>0</v>
      </c>
      <c r="AC43" s="15">
        <v>7200</v>
      </c>
      <c r="AD43" s="15">
        <v>0</v>
      </c>
      <c r="AE43" s="15">
        <v>0</v>
      </c>
      <c r="AF43" s="15">
        <v>0</v>
      </c>
      <c r="AG43" s="15">
        <v>0</v>
      </c>
      <c r="AH43" s="15">
        <v>0</v>
      </c>
      <c r="AI43" s="15">
        <v>0</v>
      </c>
      <c r="AJ43" s="15">
        <v>0</v>
      </c>
      <c r="AK43" s="15">
        <v>0</v>
      </c>
      <c r="AL43" s="15">
        <v>42000</v>
      </c>
      <c r="AM43" s="15">
        <v>0</v>
      </c>
      <c r="AN43" s="15">
        <v>7200</v>
      </c>
      <c r="AO43" s="15">
        <v>0</v>
      </c>
      <c r="AP43" s="15">
        <v>41000</v>
      </c>
      <c r="AQ43" s="15">
        <v>49000</v>
      </c>
      <c r="AR43" s="15">
        <v>0</v>
      </c>
      <c r="AS43" s="15">
        <v>0</v>
      </c>
      <c r="AT43" s="15">
        <v>90000</v>
      </c>
      <c r="AU43" s="15">
        <v>0</v>
      </c>
      <c r="AV43" s="15">
        <v>0</v>
      </c>
      <c r="AW43" s="15">
        <v>0</v>
      </c>
      <c r="AX43" s="15">
        <v>0</v>
      </c>
      <c r="AY43" s="15">
        <v>0</v>
      </c>
      <c r="AZ43" s="15">
        <v>0</v>
      </c>
      <c r="BA43" s="15">
        <v>7200</v>
      </c>
      <c r="BB43" s="15">
        <v>7200</v>
      </c>
      <c r="BC43" s="15">
        <v>0</v>
      </c>
      <c r="BD43" s="15">
        <v>96000</v>
      </c>
      <c r="BE43" s="15">
        <v>0</v>
      </c>
      <c r="BF43" s="15">
        <v>7200</v>
      </c>
      <c r="BG43" s="15">
        <v>7200</v>
      </c>
      <c r="BH43" s="15">
        <v>95000</v>
      </c>
      <c r="BI43" s="15">
        <v>0</v>
      </c>
      <c r="BJ43" s="15">
        <v>0</v>
      </c>
      <c r="BK43" s="15">
        <v>0</v>
      </c>
      <c r="BL43" s="15">
        <v>93000</v>
      </c>
      <c r="BM43" s="15">
        <v>0</v>
      </c>
      <c r="BN43" s="15">
        <v>0</v>
      </c>
      <c r="BO43" s="15">
        <v>0</v>
      </c>
      <c r="BP43" s="15">
        <v>0</v>
      </c>
      <c r="BQ43" s="15">
        <v>49000</v>
      </c>
      <c r="BR43" s="15">
        <v>7200</v>
      </c>
      <c r="BS43" s="15">
        <v>0</v>
      </c>
      <c r="BT43" s="15">
        <v>0</v>
      </c>
      <c r="BU43" s="15">
        <v>0</v>
      </c>
      <c r="BV43" s="15">
        <v>91000</v>
      </c>
      <c r="BW43" s="15">
        <v>0</v>
      </c>
      <c r="BX43" s="15">
        <v>7200</v>
      </c>
      <c r="BY43" s="15">
        <v>7200</v>
      </c>
      <c r="BZ43" s="15">
        <v>0</v>
      </c>
      <c r="CA43" s="15">
        <v>7200</v>
      </c>
      <c r="CB43" s="15">
        <v>46000</v>
      </c>
      <c r="CC43" s="15">
        <v>7200</v>
      </c>
      <c r="CD43" s="15">
        <v>0</v>
      </c>
      <c r="CE43" s="15">
        <v>7200</v>
      </c>
      <c r="CF43" s="15">
        <v>0</v>
      </c>
      <c r="CG43" s="15">
        <v>54000</v>
      </c>
      <c r="CH43" s="15">
        <v>0</v>
      </c>
      <c r="CI43" s="15">
        <v>0</v>
      </c>
      <c r="CJ43" s="15">
        <v>0</v>
      </c>
      <c r="CK43" s="15">
        <v>0</v>
      </c>
      <c r="CL43" s="15">
        <v>0</v>
      </c>
      <c r="CM43" s="15">
        <v>0</v>
      </c>
      <c r="CN43" s="15">
        <v>7200</v>
      </c>
      <c r="CO43" s="15">
        <v>7200</v>
      </c>
      <c r="CP43" s="15">
        <v>0</v>
      </c>
      <c r="CQ43" s="15">
        <v>7200</v>
      </c>
      <c r="CR43" s="15">
        <v>7200</v>
      </c>
      <c r="CS43" s="15">
        <v>7200</v>
      </c>
      <c r="CT43" s="15">
        <v>0</v>
      </c>
      <c r="CU43" s="15">
        <v>7200</v>
      </c>
      <c r="CV43" s="15">
        <v>7200</v>
      </c>
      <c r="CW43" s="15">
        <v>7200</v>
      </c>
    </row>
    <row r="44" spans="1:101" x14ac:dyDescent="0.75">
      <c r="A44" s="22">
        <v>42</v>
      </c>
      <c r="B44" s="15">
        <v>0</v>
      </c>
      <c r="C44" s="15">
        <v>91000</v>
      </c>
      <c r="D44" s="15">
        <v>7200</v>
      </c>
      <c r="E44" s="15">
        <v>0</v>
      </c>
      <c r="F44" s="15">
        <v>53000</v>
      </c>
      <c r="G44" s="15">
        <v>0</v>
      </c>
      <c r="H44" s="15">
        <v>0</v>
      </c>
      <c r="I44" s="15">
        <v>7200</v>
      </c>
      <c r="J44" s="15">
        <v>87000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0</v>
      </c>
      <c r="R44" s="15">
        <v>0</v>
      </c>
      <c r="S44" s="15">
        <v>0</v>
      </c>
      <c r="T44" s="15">
        <v>48000</v>
      </c>
      <c r="U44" s="15">
        <v>7200</v>
      </c>
      <c r="V44" s="15">
        <v>0</v>
      </c>
      <c r="W44" s="15">
        <v>99000</v>
      </c>
      <c r="X44" s="15">
        <v>0</v>
      </c>
      <c r="Y44" s="15">
        <v>0</v>
      </c>
      <c r="Z44" s="15">
        <v>0</v>
      </c>
      <c r="AA44" s="15">
        <v>0</v>
      </c>
      <c r="AB44" s="15">
        <v>0</v>
      </c>
      <c r="AC44" s="15">
        <v>7200</v>
      </c>
      <c r="AD44" s="15">
        <v>0</v>
      </c>
      <c r="AE44" s="15">
        <v>0</v>
      </c>
      <c r="AF44" s="15">
        <v>0</v>
      </c>
      <c r="AG44" s="15">
        <v>0</v>
      </c>
      <c r="AH44" s="15">
        <v>0</v>
      </c>
      <c r="AI44" s="15">
        <v>0</v>
      </c>
      <c r="AJ44" s="15">
        <v>0</v>
      </c>
      <c r="AK44" s="15">
        <v>0</v>
      </c>
      <c r="AL44" s="15">
        <v>43000</v>
      </c>
      <c r="AM44" s="15">
        <v>0</v>
      </c>
      <c r="AN44" s="15"/>
      <c r="AO44" s="15">
        <v>0</v>
      </c>
      <c r="AP44" s="15">
        <v>42000</v>
      </c>
      <c r="AQ44" s="15">
        <v>50000</v>
      </c>
      <c r="AR44" s="15">
        <v>0</v>
      </c>
      <c r="AS44" s="15">
        <v>0</v>
      </c>
      <c r="AT44" s="15">
        <v>91000</v>
      </c>
      <c r="AU44" s="15">
        <v>0</v>
      </c>
      <c r="AV44" s="15">
        <v>0</v>
      </c>
      <c r="AW44" s="15">
        <v>0</v>
      </c>
      <c r="AX44" s="15">
        <v>0</v>
      </c>
      <c r="AY44" s="15">
        <v>0</v>
      </c>
      <c r="AZ44" s="15">
        <v>0</v>
      </c>
      <c r="BA44" s="15">
        <v>7200</v>
      </c>
      <c r="BB44" s="15">
        <v>7200</v>
      </c>
      <c r="BC44" s="15">
        <v>0</v>
      </c>
      <c r="BD44" s="15">
        <v>97000</v>
      </c>
      <c r="BE44" s="15">
        <v>0</v>
      </c>
      <c r="BF44" s="15">
        <v>7200</v>
      </c>
      <c r="BG44" s="15">
        <v>7200</v>
      </c>
      <c r="BH44" s="15">
        <v>96000</v>
      </c>
      <c r="BI44" s="15">
        <v>0</v>
      </c>
      <c r="BJ44" s="15">
        <v>0</v>
      </c>
      <c r="BK44" s="15">
        <v>0</v>
      </c>
      <c r="BL44" s="15">
        <v>94000</v>
      </c>
      <c r="BM44" s="15">
        <v>0</v>
      </c>
      <c r="BN44" s="15">
        <v>0</v>
      </c>
      <c r="BO44" s="15">
        <v>0</v>
      </c>
      <c r="BP44" s="15">
        <v>0</v>
      </c>
      <c r="BQ44" s="15">
        <v>50000</v>
      </c>
      <c r="BR44" s="15">
        <v>7200</v>
      </c>
      <c r="BS44" s="15">
        <v>0</v>
      </c>
      <c r="BT44" s="15">
        <v>0</v>
      </c>
      <c r="BU44" s="15">
        <v>0</v>
      </c>
      <c r="BV44" s="15">
        <v>92000</v>
      </c>
      <c r="BW44" s="15">
        <v>0</v>
      </c>
      <c r="BX44" s="15">
        <v>7200</v>
      </c>
      <c r="BY44" s="15">
        <v>7200</v>
      </c>
      <c r="BZ44" s="15">
        <v>0</v>
      </c>
      <c r="CA44" s="15">
        <v>7200</v>
      </c>
      <c r="CB44" s="15">
        <v>47000</v>
      </c>
      <c r="CC44" s="15">
        <v>7200</v>
      </c>
      <c r="CD44" s="15">
        <v>0</v>
      </c>
      <c r="CE44" s="15">
        <v>7200</v>
      </c>
      <c r="CF44" s="15">
        <v>0</v>
      </c>
      <c r="CG44" s="15">
        <v>0</v>
      </c>
      <c r="CH44" s="15">
        <v>0</v>
      </c>
      <c r="CI44" s="15">
        <v>0</v>
      </c>
      <c r="CJ44" s="15">
        <v>0</v>
      </c>
      <c r="CK44" s="15">
        <v>0</v>
      </c>
      <c r="CL44" s="15"/>
      <c r="CM44" s="15">
        <v>0</v>
      </c>
      <c r="CN44" s="15">
        <v>7200</v>
      </c>
      <c r="CO44" s="15">
        <v>7200</v>
      </c>
      <c r="CP44" s="15">
        <v>0</v>
      </c>
      <c r="CQ44" s="15">
        <v>7200</v>
      </c>
      <c r="CR44" s="15">
        <v>7200</v>
      </c>
      <c r="CS44" s="15">
        <v>7200</v>
      </c>
      <c r="CT44" s="15">
        <v>0</v>
      </c>
      <c r="CU44" s="15">
        <v>7200</v>
      </c>
      <c r="CV44" s="15">
        <v>7200</v>
      </c>
      <c r="CW44" s="15">
        <v>7200</v>
      </c>
    </row>
    <row r="45" spans="1:101" x14ac:dyDescent="0.75">
      <c r="A45" s="22">
        <v>43</v>
      </c>
      <c r="B45" s="15">
        <v>0</v>
      </c>
      <c r="C45" s="15">
        <v>92000</v>
      </c>
      <c r="D45" s="15">
        <v>7200</v>
      </c>
      <c r="E45" s="15">
        <v>0</v>
      </c>
      <c r="F45" s="15">
        <v>54000</v>
      </c>
      <c r="G45" s="15">
        <v>0</v>
      </c>
      <c r="H45" s="15">
        <v>0</v>
      </c>
      <c r="I45" s="15">
        <v>7200</v>
      </c>
      <c r="J45" s="15">
        <v>88000</v>
      </c>
      <c r="K45" s="15">
        <v>0</v>
      </c>
      <c r="L45" s="15">
        <v>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49000</v>
      </c>
      <c r="U45" s="15">
        <v>7200</v>
      </c>
      <c r="V45" s="15">
        <v>0</v>
      </c>
      <c r="W45" s="15">
        <v>0</v>
      </c>
      <c r="X45" s="15">
        <v>0</v>
      </c>
      <c r="Y45" s="15">
        <v>0</v>
      </c>
      <c r="Z45" s="15">
        <v>0</v>
      </c>
      <c r="AA45" s="15">
        <v>0</v>
      </c>
      <c r="AB45" s="15">
        <v>0</v>
      </c>
      <c r="AC45" s="15">
        <v>7200</v>
      </c>
      <c r="AD45" s="15">
        <v>0</v>
      </c>
      <c r="AE45" s="15">
        <v>0</v>
      </c>
      <c r="AF45" s="15">
        <v>0</v>
      </c>
      <c r="AG45" s="15">
        <v>0</v>
      </c>
      <c r="AH45" s="15">
        <v>0</v>
      </c>
      <c r="AI45" s="15">
        <v>0</v>
      </c>
      <c r="AJ45" s="15">
        <v>0</v>
      </c>
      <c r="AK45" s="15">
        <v>0</v>
      </c>
      <c r="AL45" s="15">
        <v>44000</v>
      </c>
      <c r="AM45" s="15">
        <v>0</v>
      </c>
      <c r="AN45" s="15"/>
      <c r="AO45" s="15"/>
      <c r="AP45" s="15">
        <v>43000</v>
      </c>
      <c r="AQ45" s="15">
        <v>51000</v>
      </c>
      <c r="AR45" s="15">
        <v>0</v>
      </c>
      <c r="AS45" s="15">
        <v>0</v>
      </c>
      <c r="AT45" s="15">
        <v>92000</v>
      </c>
      <c r="AU45" s="15">
        <v>0</v>
      </c>
      <c r="AV45" s="15">
        <v>0</v>
      </c>
      <c r="AW45" s="15">
        <v>0</v>
      </c>
      <c r="AX45" s="15">
        <v>0</v>
      </c>
      <c r="AY45" s="15">
        <v>0</v>
      </c>
      <c r="AZ45" s="15">
        <v>0</v>
      </c>
      <c r="BA45" s="15">
        <v>7200</v>
      </c>
      <c r="BB45" s="15">
        <v>7200</v>
      </c>
      <c r="BC45" s="15">
        <v>0</v>
      </c>
      <c r="BD45" s="15">
        <v>98000</v>
      </c>
      <c r="BE45" s="15">
        <v>0</v>
      </c>
      <c r="BF45" s="15">
        <v>7200</v>
      </c>
      <c r="BG45" s="15">
        <v>7200</v>
      </c>
      <c r="BH45" s="15">
        <v>97000</v>
      </c>
      <c r="BI45" s="15">
        <v>0</v>
      </c>
      <c r="BJ45" s="15">
        <v>0</v>
      </c>
      <c r="BK45" s="15">
        <v>0</v>
      </c>
      <c r="BL45" s="15">
        <v>95000</v>
      </c>
      <c r="BM45" s="15">
        <v>0</v>
      </c>
      <c r="BN45" s="15">
        <v>0</v>
      </c>
      <c r="BO45" s="15">
        <v>0</v>
      </c>
      <c r="BP45" s="15">
        <v>0</v>
      </c>
      <c r="BQ45" s="15">
        <v>51000</v>
      </c>
      <c r="BR45" s="15">
        <v>7200</v>
      </c>
      <c r="BS45" s="15">
        <v>0</v>
      </c>
      <c r="BT45" s="15">
        <v>0</v>
      </c>
      <c r="BU45" s="15">
        <v>0</v>
      </c>
      <c r="BV45" s="15">
        <v>93000</v>
      </c>
      <c r="BW45" s="15">
        <v>0</v>
      </c>
      <c r="BX45" s="15">
        <v>7200</v>
      </c>
      <c r="BY45" s="15">
        <v>7200</v>
      </c>
      <c r="BZ45" s="15">
        <v>0</v>
      </c>
      <c r="CA45" s="15">
        <v>7200</v>
      </c>
      <c r="CB45" s="15">
        <v>48000</v>
      </c>
      <c r="CC45" s="15">
        <v>7200</v>
      </c>
      <c r="CD45" s="15">
        <v>0</v>
      </c>
      <c r="CE45" s="15">
        <v>7200</v>
      </c>
      <c r="CF45" s="15">
        <v>0</v>
      </c>
      <c r="CG45" s="15">
        <v>0</v>
      </c>
      <c r="CH45" s="15">
        <v>0</v>
      </c>
      <c r="CI45" s="15">
        <v>0</v>
      </c>
      <c r="CJ45" s="15">
        <v>0</v>
      </c>
      <c r="CK45" s="15">
        <v>0</v>
      </c>
      <c r="CL45" s="15"/>
      <c r="CM45" s="15"/>
      <c r="CN45" s="15">
        <v>7200</v>
      </c>
      <c r="CO45" s="15">
        <v>7200</v>
      </c>
      <c r="CP45" s="15">
        <v>0</v>
      </c>
      <c r="CQ45" s="15">
        <v>7200</v>
      </c>
      <c r="CR45" s="15">
        <v>7200</v>
      </c>
      <c r="CS45" s="15">
        <v>7200</v>
      </c>
      <c r="CT45" s="15">
        <v>0</v>
      </c>
      <c r="CU45" s="15">
        <v>7200</v>
      </c>
      <c r="CV45" s="15">
        <v>7200</v>
      </c>
      <c r="CW45" s="15">
        <v>7200</v>
      </c>
    </row>
    <row r="46" spans="1:101" x14ac:dyDescent="0.75">
      <c r="A46" s="22">
        <v>44</v>
      </c>
      <c r="B46" s="15">
        <v>0</v>
      </c>
      <c r="C46" s="15">
        <v>93000</v>
      </c>
      <c r="D46" s="15">
        <v>7200</v>
      </c>
      <c r="E46" s="15">
        <v>0</v>
      </c>
      <c r="F46" s="15">
        <v>0</v>
      </c>
      <c r="G46" s="15">
        <v>0</v>
      </c>
      <c r="H46" s="15">
        <v>0</v>
      </c>
      <c r="I46" s="15">
        <v>7200</v>
      </c>
      <c r="J46" s="15">
        <v>89000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50000</v>
      </c>
      <c r="U46" s="15">
        <v>7200</v>
      </c>
      <c r="V46" s="15">
        <v>0</v>
      </c>
      <c r="W46" s="15">
        <v>0</v>
      </c>
      <c r="X46" s="15">
        <v>0</v>
      </c>
      <c r="Y46" s="15">
        <v>0</v>
      </c>
      <c r="Z46" s="15">
        <v>0</v>
      </c>
      <c r="AA46" s="15">
        <v>0</v>
      </c>
      <c r="AB46" s="15">
        <v>0</v>
      </c>
      <c r="AC46" s="15">
        <v>7200</v>
      </c>
      <c r="AD46" s="15">
        <v>0</v>
      </c>
      <c r="AE46" s="15">
        <v>0</v>
      </c>
      <c r="AF46" s="15">
        <v>0</v>
      </c>
      <c r="AG46" s="15">
        <v>0</v>
      </c>
      <c r="AH46" s="15">
        <v>0</v>
      </c>
      <c r="AI46" s="15">
        <v>0</v>
      </c>
      <c r="AJ46" s="15">
        <v>0</v>
      </c>
      <c r="AK46" s="15"/>
      <c r="AL46" s="15">
        <v>45000</v>
      </c>
      <c r="AM46" s="15">
        <v>0</v>
      </c>
      <c r="AN46" s="15"/>
      <c r="AO46" s="15"/>
      <c r="AP46" s="15">
        <v>44000</v>
      </c>
      <c r="AQ46" s="15">
        <v>52000</v>
      </c>
      <c r="AR46" s="15">
        <v>0</v>
      </c>
      <c r="AS46" s="15">
        <v>0</v>
      </c>
      <c r="AT46" s="15">
        <v>93000</v>
      </c>
      <c r="AU46" s="15">
        <v>0</v>
      </c>
      <c r="AV46" s="15">
        <v>0</v>
      </c>
      <c r="AW46" s="15">
        <v>0</v>
      </c>
      <c r="AX46" s="15">
        <v>0</v>
      </c>
      <c r="AY46" s="15">
        <v>0</v>
      </c>
      <c r="AZ46" s="15">
        <v>0</v>
      </c>
      <c r="BA46" s="15">
        <v>7200</v>
      </c>
      <c r="BB46" s="15">
        <v>7200</v>
      </c>
      <c r="BC46" s="15">
        <v>0</v>
      </c>
      <c r="BD46" s="15">
        <v>99000</v>
      </c>
      <c r="BE46" s="15">
        <v>0</v>
      </c>
      <c r="BF46" s="15">
        <v>7200</v>
      </c>
      <c r="BG46" s="15">
        <v>7200</v>
      </c>
      <c r="BH46" s="15">
        <v>98000</v>
      </c>
      <c r="BI46" s="15">
        <v>0</v>
      </c>
      <c r="BJ46" s="15">
        <v>0</v>
      </c>
      <c r="BK46" s="15">
        <v>0</v>
      </c>
      <c r="BL46" s="15">
        <v>96000</v>
      </c>
      <c r="BM46" s="15">
        <v>0</v>
      </c>
      <c r="BN46" s="15">
        <v>0</v>
      </c>
      <c r="BO46" s="15">
        <v>0</v>
      </c>
      <c r="BP46" s="15">
        <v>0</v>
      </c>
      <c r="BQ46" s="15">
        <v>52000</v>
      </c>
      <c r="BR46" s="15">
        <v>7200</v>
      </c>
      <c r="BS46" s="15">
        <v>0</v>
      </c>
      <c r="BT46" s="15">
        <v>0</v>
      </c>
      <c r="BU46" s="15">
        <v>0</v>
      </c>
      <c r="BV46" s="15">
        <v>94000</v>
      </c>
      <c r="BW46" s="15"/>
      <c r="BX46" s="15">
        <v>7200</v>
      </c>
      <c r="BY46" s="15">
        <v>7200</v>
      </c>
      <c r="BZ46" s="15">
        <v>0</v>
      </c>
      <c r="CA46" s="15">
        <v>7200</v>
      </c>
      <c r="CB46" s="15">
        <v>49000</v>
      </c>
      <c r="CC46" s="15">
        <v>7200</v>
      </c>
      <c r="CD46" s="15">
        <v>0</v>
      </c>
      <c r="CE46" s="15">
        <v>7200</v>
      </c>
      <c r="CF46" s="15">
        <v>0</v>
      </c>
      <c r="CG46" s="15">
        <v>0</v>
      </c>
      <c r="CH46" s="15">
        <v>0</v>
      </c>
      <c r="CI46" s="15">
        <v>0</v>
      </c>
      <c r="CJ46" s="15">
        <v>0</v>
      </c>
      <c r="CK46" s="15">
        <v>0</v>
      </c>
      <c r="CL46" s="15"/>
      <c r="CM46" s="15"/>
      <c r="CN46" s="15">
        <v>7200</v>
      </c>
      <c r="CO46" s="15"/>
      <c r="CP46" s="15">
        <v>0</v>
      </c>
      <c r="CQ46" s="15">
        <v>7200</v>
      </c>
      <c r="CR46" s="15">
        <v>7200</v>
      </c>
      <c r="CS46" s="15"/>
      <c r="CT46" s="15">
        <v>0</v>
      </c>
      <c r="CU46" s="15">
        <v>7200</v>
      </c>
      <c r="CV46" s="15">
        <v>7200</v>
      </c>
      <c r="CW46" s="15">
        <v>7200</v>
      </c>
    </row>
    <row r="47" spans="1:101" x14ac:dyDescent="0.75">
      <c r="A47" s="22">
        <v>45</v>
      </c>
      <c r="B47" s="15">
        <v>0</v>
      </c>
      <c r="C47" s="15">
        <v>94000</v>
      </c>
      <c r="D47" s="15">
        <v>7200</v>
      </c>
      <c r="E47" s="15">
        <v>0</v>
      </c>
      <c r="F47" s="15">
        <v>0</v>
      </c>
      <c r="G47" s="15">
        <v>0</v>
      </c>
      <c r="H47" s="15">
        <v>0</v>
      </c>
      <c r="I47" s="15">
        <v>7200</v>
      </c>
      <c r="J47" s="15">
        <v>90000</v>
      </c>
      <c r="K47" s="15">
        <v>0</v>
      </c>
      <c r="L47" s="15">
        <v>0</v>
      </c>
      <c r="M47" s="15">
        <v>0</v>
      </c>
      <c r="N47" s="15">
        <v>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51000</v>
      </c>
      <c r="U47" s="15">
        <v>7200</v>
      </c>
      <c r="V47" s="15">
        <v>0</v>
      </c>
      <c r="W47" s="15">
        <v>0</v>
      </c>
      <c r="X47" s="15">
        <v>0</v>
      </c>
      <c r="Y47" s="15">
        <v>0</v>
      </c>
      <c r="Z47" s="15">
        <v>0</v>
      </c>
      <c r="AA47" s="15">
        <v>0</v>
      </c>
      <c r="AB47" s="15">
        <v>0</v>
      </c>
      <c r="AC47" s="15"/>
      <c r="AD47" s="15">
        <v>0</v>
      </c>
      <c r="AE47" s="15">
        <v>0</v>
      </c>
      <c r="AF47" s="15">
        <v>0</v>
      </c>
      <c r="AG47" s="15">
        <v>0</v>
      </c>
      <c r="AH47" s="15">
        <v>0</v>
      </c>
      <c r="AI47" s="15">
        <v>0</v>
      </c>
      <c r="AJ47" s="15">
        <v>0</v>
      </c>
      <c r="AK47" s="15"/>
      <c r="AL47" s="15">
        <v>46000</v>
      </c>
      <c r="AM47" s="15"/>
      <c r="AN47" s="15"/>
      <c r="AO47" s="15"/>
      <c r="AP47" s="15">
        <v>45000</v>
      </c>
      <c r="AQ47" s="15">
        <v>53000</v>
      </c>
      <c r="AR47" s="15">
        <v>0</v>
      </c>
      <c r="AS47" s="15">
        <v>0</v>
      </c>
      <c r="AT47" s="15">
        <v>94000</v>
      </c>
      <c r="AU47" s="15">
        <v>0</v>
      </c>
      <c r="AV47" s="15">
        <v>0</v>
      </c>
      <c r="AW47" s="15">
        <v>0</v>
      </c>
      <c r="AX47" s="15">
        <v>0</v>
      </c>
      <c r="AY47" s="15">
        <v>0</v>
      </c>
      <c r="AZ47" s="15">
        <v>0</v>
      </c>
      <c r="BA47" s="15">
        <v>7200</v>
      </c>
      <c r="BB47" s="15">
        <v>7200</v>
      </c>
      <c r="BC47" s="15">
        <v>0</v>
      </c>
      <c r="BD47" s="15">
        <v>0</v>
      </c>
      <c r="BE47" s="15">
        <v>0</v>
      </c>
      <c r="BF47" s="15">
        <v>7200</v>
      </c>
      <c r="BG47" s="15">
        <v>7200</v>
      </c>
      <c r="BH47" s="15">
        <v>99000</v>
      </c>
      <c r="BI47" s="15">
        <v>0</v>
      </c>
      <c r="BJ47" s="15">
        <v>0</v>
      </c>
      <c r="BK47" s="15">
        <v>0</v>
      </c>
      <c r="BL47" s="15">
        <v>97000</v>
      </c>
      <c r="BM47" s="15">
        <v>0</v>
      </c>
      <c r="BN47" s="15">
        <v>0</v>
      </c>
      <c r="BO47" s="15">
        <v>0</v>
      </c>
      <c r="BP47" s="15">
        <v>0</v>
      </c>
      <c r="BQ47" s="15">
        <v>53000</v>
      </c>
      <c r="BR47" s="15">
        <v>7200</v>
      </c>
      <c r="BS47" s="15">
        <v>0</v>
      </c>
      <c r="BT47" s="15">
        <v>0</v>
      </c>
      <c r="BU47" s="15">
        <v>0</v>
      </c>
      <c r="BV47" s="15">
        <v>95000</v>
      </c>
      <c r="BW47" s="15"/>
      <c r="BX47" s="15">
        <v>7200</v>
      </c>
      <c r="BY47" s="15">
        <v>7200</v>
      </c>
      <c r="BZ47" s="15">
        <v>0</v>
      </c>
      <c r="CA47" s="15">
        <v>7200</v>
      </c>
      <c r="CB47" s="15">
        <v>50000</v>
      </c>
      <c r="CC47" s="15">
        <v>7200</v>
      </c>
      <c r="CD47" s="15">
        <v>0</v>
      </c>
      <c r="CE47" s="15">
        <v>7200</v>
      </c>
      <c r="CF47" s="15">
        <v>0</v>
      </c>
      <c r="CG47" s="15">
        <v>0</v>
      </c>
      <c r="CH47" s="15">
        <v>0</v>
      </c>
      <c r="CI47" s="15">
        <v>0</v>
      </c>
      <c r="CJ47" s="15">
        <v>0</v>
      </c>
      <c r="CK47" s="15">
        <v>0</v>
      </c>
      <c r="CL47" s="15"/>
      <c r="CM47" s="15"/>
      <c r="CN47" s="15">
        <v>7200</v>
      </c>
      <c r="CO47" s="15"/>
      <c r="CP47" s="15">
        <v>0</v>
      </c>
      <c r="CQ47" s="15">
        <v>7200</v>
      </c>
      <c r="CR47" s="15">
        <v>7200</v>
      </c>
      <c r="CS47" s="15"/>
      <c r="CT47" s="15">
        <v>0</v>
      </c>
      <c r="CU47" s="15">
        <v>7200</v>
      </c>
      <c r="CV47" s="15">
        <v>7200</v>
      </c>
      <c r="CW47" s="15">
        <v>7200</v>
      </c>
    </row>
    <row r="48" spans="1:101" x14ac:dyDescent="0.75">
      <c r="A48" s="22">
        <v>46</v>
      </c>
      <c r="B48" s="15">
        <v>0</v>
      </c>
      <c r="C48" s="15">
        <v>95000</v>
      </c>
      <c r="D48" s="15">
        <v>7200</v>
      </c>
      <c r="E48" s="15">
        <v>0</v>
      </c>
      <c r="F48" s="15">
        <v>0</v>
      </c>
      <c r="G48" s="15">
        <v>0</v>
      </c>
      <c r="H48" s="15">
        <v>0</v>
      </c>
      <c r="I48" s="15">
        <v>7200</v>
      </c>
      <c r="J48" s="15">
        <v>91000</v>
      </c>
      <c r="K48" s="15">
        <v>0</v>
      </c>
      <c r="L48" s="15">
        <v>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52000</v>
      </c>
      <c r="U48" s="15">
        <v>7200</v>
      </c>
      <c r="V48" s="15">
        <v>0</v>
      </c>
      <c r="W48" s="15">
        <v>0</v>
      </c>
      <c r="X48" s="15">
        <v>0</v>
      </c>
      <c r="Y48" s="15">
        <v>0</v>
      </c>
      <c r="Z48" s="15">
        <v>0</v>
      </c>
      <c r="AA48" s="15">
        <v>0</v>
      </c>
      <c r="AB48" s="15">
        <v>0</v>
      </c>
      <c r="AC48" s="15"/>
      <c r="AD48" s="15">
        <v>0</v>
      </c>
      <c r="AE48" s="15">
        <v>0</v>
      </c>
      <c r="AF48" s="15">
        <v>0</v>
      </c>
      <c r="AG48" s="15">
        <v>0</v>
      </c>
      <c r="AH48" s="15">
        <v>0</v>
      </c>
      <c r="AI48" s="15">
        <v>0</v>
      </c>
      <c r="AJ48" s="15">
        <v>0</v>
      </c>
      <c r="AK48" s="15"/>
      <c r="AL48" s="15">
        <v>47000</v>
      </c>
      <c r="AM48" s="15"/>
      <c r="AN48" s="15"/>
      <c r="AO48" s="15"/>
      <c r="AP48" s="15">
        <v>46000</v>
      </c>
      <c r="AQ48" s="15">
        <v>54000</v>
      </c>
      <c r="AR48" s="15">
        <v>0</v>
      </c>
      <c r="AS48" s="15">
        <v>0</v>
      </c>
      <c r="AT48" s="15">
        <v>95000</v>
      </c>
      <c r="AU48" s="15">
        <v>0</v>
      </c>
      <c r="AV48" s="15">
        <v>0</v>
      </c>
      <c r="AW48" s="15">
        <v>0</v>
      </c>
      <c r="AX48" s="15">
        <v>0</v>
      </c>
      <c r="AY48" s="15">
        <v>0</v>
      </c>
      <c r="AZ48" s="15">
        <v>0</v>
      </c>
      <c r="BA48" s="15"/>
      <c r="BB48" s="15">
        <v>7200</v>
      </c>
      <c r="BC48" s="15">
        <v>0</v>
      </c>
      <c r="BD48" s="15">
        <v>0</v>
      </c>
      <c r="BE48" s="15">
        <v>0</v>
      </c>
      <c r="BF48" s="15">
        <v>7200</v>
      </c>
      <c r="BG48" s="15">
        <v>7200</v>
      </c>
      <c r="BH48" s="15">
        <v>0</v>
      </c>
      <c r="BI48" s="15">
        <v>0</v>
      </c>
      <c r="BJ48" s="15">
        <v>0</v>
      </c>
      <c r="BK48" s="15">
        <v>0</v>
      </c>
      <c r="BL48" s="15">
        <v>98000</v>
      </c>
      <c r="BM48" s="15">
        <v>0</v>
      </c>
      <c r="BN48" s="15">
        <v>0</v>
      </c>
      <c r="BO48" s="15">
        <v>0</v>
      </c>
      <c r="BP48" s="15">
        <v>0</v>
      </c>
      <c r="BQ48" s="15">
        <v>54000</v>
      </c>
      <c r="BR48" s="15">
        <v>7200</v>
      </c>
      <c r="BS48" s="15">
        <v>0</v>
      </c>
      <c r="BT48" s="15">
        <v>0</v>
      </c>
      <c r="BU48" s="15">
        <v>0</v>
      </c>
      <c r="BV48" s="15">
        <v>96000</v>
      </c>
      <c r="BW48" s="15"/>
      <c r="BX48" s="15">
        <v>7200</v>
      </c>
      <c r="BY48" s="15">
        <v>7200</v>
      </c>
      <c r="BZ48" s="15">
        <v>0</v>
      </c>
      <c r="CA48" s="15">
        <v>7200</v>
      </c>
      <c r="CB48" s="15">
        <v>51000</v>
      </c>
      <c r="CC48" s="15"/>
      <c r="CD48" s="15">
        <v>0</v>
      </c>
      <c r="CE48" s="15">
        <v>7200</v>
      </c>
      <c r="CF48" s="15">
        <v>0</v>
      </c>
      <c r="CG48" s="15">
        <v>0</v>
      </c>
      <c r="CH48" s="15">
        <v>0</v>
      </c>
      <c r="CI48" s="15">
        <v>0</v>
      </c>
      <c r="CJ48" s="15">
        <v>0</v>
      </c>
      <c r="CK48" s="15">
        <v>0</v>
      </c>
      <c r="CL48" s="15"/>
      <c r="CM48" s="15"/>
      <c r="CN48" s="15">
        <v>7200</v>
      </c>
      <c r="CO48" s="15"/>
      <c r="CP48" s="15">
        <v>0</v>
      </c>
      <c r="CQ48" s="15">
        <v>7200</v>
      </c>
      <c r="CR48" s="15">
        <v>7200</v>
      </c>
      <c r="CS48" s="15"/>
      <c r="CT48" s="15">
        <v>0</v>
      </c>
      <c r="CU48" s="15">
        <v>7200</v>
      </c>
      <c r="CV48" s="15">
        <v>7200</v>
      </c>
      <c r="CW48" s="15">
        <v>7200</v>
      </c>
    </row>
    <row r="49" spans="1:101" x14ac:dyDescent="0.75">
      <c r="A49" s="22">
        <v>47</v>
      </c>
      <c r="B49" s="15">
        <v>0</v>
      </c>
      <c r="C49" s="15">
        <v>96000</v>
      </c>
      <c r="D49" s="15">
        <v>7200</v>
      </c>
      <c r="E49" s="15">
        <v>0</v>
      </c>
      <c r="F49" s="15">
        <v>0</v>
      </c>
      <c r="G49" s="15">
        <v>0</v>
      </c>
      <c r="H49" s="15">
        <v>0</v>
      </c>
      <c r="I49" s="15">
        <v>7200</v>
      </c>
      <c r="J49" s="15">
        <v>92000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53000</v>
      </c>
      <c r="U49" s="15">
        <v>7200</v>
      </c>
      <c r="V49" s="15">
        <v>0</v>
      </c>
      <c r="W49" s="15">
        <v>0</v>
      </c>
      <c r="X49" s="15">
        <v>0</v>
      </c>
      <c r="Y49" s="15">
        <v>0</v>
      </c>
      <c r="Z49" s="15">
        <v>0</v>
      </c>
      <c r="AA49" s="15">
        <v>0</v>
      </c>
      <c r="AB49" s="15">
        <v>0</v>
      </c>
      <c r="AC49" s="15"/>
      <c r="AD49" s="15">
        <v>0</v>
      </c>
      <c r="AE49" s="15">
        <v>0</v>
      </c>
      <c r="AF49" s="15">
        <v>0</v>
      </c>
      <c r="AG49" s="15">
        <v>0</v>
      </c>
      <c r="AH49" s="15">
        <v>0</v>
      </c>
      <c r="AI49" s="15">
        <v>0</v>
      </c>
      <c r="AJ49" s="15">
        <v>0</v>
      </c>
      <c r="AK49" s="15"/>
      <c r="AL49" s="15">
        <v>48000</v>
      </c>
      <c r="AM49" s="15"/>
      <c r="AN49" s="15"/>
      <c r="AO49" s="15"/>
      <c r="AP49" s="15">
        <v>47000</v>
      </c>
      <c r="AQ49" s="15">
        <v>0</v>
      </c>
      <c r="AR49" s="15">
        <v>0</v>
      </c>
      <c r="AS49" s="15">
        <v>0</v>
      </c>
      <c r="AT49" s="15">
        <v>96000</v>
      </c>
      <c r="AU49" s="15">
        <v>0</v>
      </c>
      <c r="AV49" s="15">
        <v>0</v>
      </c>
      <c r="AW49" s="15">
        <v>0</v>
      </c>
      <c r="AX49" s="15">
        <v>0</v>
      </c>
      <c r="AY49" s="15">
        <v>0</v>
      </c>
      <c r="AZ49" s="15">
        <v>0</v>
      </c>
      <c r="BA49" s="15"/>
      <c r="BB49" s="15">
        <v>7200</v>
      </c>
      <c r="BC49" s="15">
        <v>0</v>
      </c>
      <c r="BD49" s="15">
        <v>0</v>
      </c>
      <c r="BE49" s="15">
        <v>0</v>
      </c>
      <c r="BF49" s="15">
        <v>7200</v>
      </c>
      <c r="BG49" s="15">
        <v>7200</v>
      </c>
      <c r="BH49" s="15">
        <v>0</v>
      </c>
      <c r="BI49" s="15">
        <v>0</v>
      </c>
      <c r="BJ49" s="15">
        <v>0</v>
      </c>
      <c r="BK49" s="15">
        <v>0</v>
      </c>
      <c r="BL49" s="15">
        <v>99000</v>
      </c>
      <c r="BM49" s="15">
        <v>0</v>
      </c>
      <c r="BN49" s="15">
        <v>0</v>
      </c>
      <c r="BO49" s="15">
        <v>0</v>
      </c>
      <c r="BP49" s="15">
        <v>0</v>
      </c>
      <c r="BQ49" s="15">
        <v>0</v>
      </c>
      <c r="BR49" s="15">
        <v>7200</v>
      </c>
      <c r="BS49" s="15">
        <v>0</v>
      </c>
      <c r="BT49" s="15">
        <v>0</v>
      </c>
      <c r="BU49" s="15">
        <v>0</v>
      </c>
      <c r="BV49" s="15">
        <v>97000</v>
      </c>
      <c r="BW49" s="15"/>
      <c r="BX49" s="15">
        <v>7200</v>
      </c>
      <c r="BY49" s="15">
        <v>7200</v>
      </c>
      <c r="BZ49" s="15">
        <v>0</v>
      </c>
      <c r="CA49" s="15">
        <v>7200</v>
      </c>
      <c r="CB49" s="15">
        <v>52000</v>
      </c>
      <c r="CC49" s="15"/>
      <c r="CD49" s="15">
        <v>0</v>
      </c>
      <c r="CE49" s="15">
        <v>7200</v>
      </c>
      <c r="CF49" s="15">
        <v>0</v>
      </c>
      <c r="CG49" s="15">
        <v>0</v>
      </c>
      <c r="CH49" s="15">
        <v>0</v>
      </c>
      <c r="CI49" s="15">
        <v>0</v>
      </c>
      <c r="CJ49" s="15">
        <v>0</v>
      </c>
      <c r="CK49" s="15">
        <v>0</v>
      </c>
      <c r="CL49" s="15"/>
      <c r="CM49" s="15"/>
      <c r="CN49" s="15">
        <v>7200</v>
      </c>
      <c r="CO49" s="15"/>
      <c r="CP49" s="15">
        <v>0</v>
      </c>
      <c r="CQ49" s="15">
        <v>7200</v>
      </c>
      <c r="CR49" s="15">
        <v>7200</v>
      </c>
      <c r="CS49" s="15"/>
      <c r="CT49" s="15"/>
      <c r="CU49" s="15">
        <v>7200</v>
      </c>
      <c r="CV49" s="15">
        <v>7200</v>
      </c>
      <c r="CW49" s="15">
        <v>7200</v>
      </c>
    </row>
    <row r="50" spans="1:101" x14ac:dyDescent="0.75">
      <c r="A50" s="22">
        <v>48</v>
      </c>
      <c r="B50" s="15">
        <v>0</v>
      </c>
      <c r="C50" s="15">
        <v>97000</v>
      </c>
      <c r="D50" s="15">
        <v>7200</v>
      </c>
      <c r="E50" s="15">
        <v>0</v>
      </c>
      <c r="F50" s="15">
        <v>0</v>
      </c>
      <c r="G50" s="15">
        <v>0</v>
      </c>
      <c r="H50" s="15"/>
      <c r="I50" s="15">
        <v>7200</v>
      </c>
      <c r="J50" s="15">
        <v>93000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0</v>
      </c>
      <c r="Q50" s="15">
        <v>0</v>
      </c>
      <c r="R50" s="15">
        <v>0</v>
      </c>
      <c r="S50" s="15">
        <v>0</v>
      </c>
      <c r="T50" s="15">
        <v>54000</v>
      </c>
      <c r="U50" s="15">
        <v>7200</v>
      </c>
      <c r="V50" s="15">
        <v>0</v>
      </c>
      <c r="W50" s="15">
        <v>0</v>
      </c>
      <c r="X50" s="15">
        <v>0</v>
      </c>
      <c r="Y50" s="15">
        <v>0</v>
      </c>
      <c r="Z50" s="15">
        <v>0</v>
      </c>
      <c r="AA50" s="15">
        <v>0</v>
      </c>
      <c r="AB50" s="15">
        <v>0</v>
      </c>
      <c r="AC50" s="15"/>
      <c r="AD50" s="15">
        <v>0</v>
      </c>
      <c r="AE50" s="15">
        <v>0</v>
      </c>
      <c r="AF50" s="15">
        <v>0</v>
      </c>
      <c r="AG50" s="15">
        <v>0</v>
      </c>
      <c r="AH50" s="15">
        <v>0</v>
      </c>
      <c r="AI50" s="15">
        <v>0</v>
      </c>
      <c r="AJ50" s="15">
        <v>0</v>
      </c>
      <c r="AK50" s="15"/>
      <c r="AL50" s="15">
        <v>49000</v>
      </c>
      <c r="AM50" s="15"/>
      <c r="AN50" s="15"/>
      <c r="AO50" s="15"/>
      <c r="AP50" s="15">
        <v>48000</v>
      </c>
      <c r="AQ50" s="15">
        <v>0</v>
      </c>
      <c r="AR50" s="15">
        <v>0</v>
      </c>
      <c r="AS50" s="15">
        <v>0</v>
      </c>
      <c r="AT50" s="15">
        <v>97000</v>
      </c>
      <c r="AU50" s="15">
        <v>0</v>
      </c>
      <c r="AV50" s="15">
        <v>0</v>
      </c>
      <c r="AW50" s="15">
        <v>0</v>
      </c>
      <c r="AX50" s="15">
        <v>0</v>
      </c>
      <c r="AY50" s="15">
        <v>0</v>
      </c>
      <c r="AZ50" s="15">
        <v>0</v>
      </c>
      <c r="BA50" s="15"/>
      <c r="BB50" s="15">
        <v>7200</v>
      </c>
      <c r="BC50" s="15">
        <v>0</v>
      </c>
      <c r="BD50" s="15">
        <v>0</v>
      </c>
      <c r="BE50" s="15">
        <v>0</v>
      </c>
      <c r="BF50" s="15">
        <v>7200</v>
      </c>
      <c r="BG50" s="15">
        <v>7200</v>
      </c>
      <c r="BH50" s="15">
        <v>0</v>
      </c>
      <c r="BI50" s="15">
        <v>0</v>
      </c>
      <c r="BJ50" s="15">
        <v>0</v>
      </c>
      <c r="BK50" s="15">
        <v>0</v>
      </c>
      <c r="BL50" s="15">
        <v>0</v>
      </c>
      <c r="BM50" s="15">
        <v>0</v>
      </c>
      <c r="BN50" s="15">
        <v>0</v>
      </c>
      <c r="BO50" s="15">
        <v>0</v>
      </c>
      <c r="BP50" s="15">
        <v>0</v>
      </c>
      <c r="BQ50" s="15">
        <v>0</v>
      </c>
      <c r="BR50" s="15">
        <v>7200</v>
      </c>
      <c r="BS50" s="15">
        <v>0</v>
      </c>
      <c r="BT50" s="15">
        <v>0</v>
      </c>
      <c r="BU50" s="15">
        <v>0</v>
      </c>
      <c r="BV50" s="15">
        <v>98000</v>
      </c>
      <c r="BW50" s="15"/>
      <c r="BX50" s="15">
        <v>7200</v>
      </c>
      <c r="BY50" s="15">
        <v>7200</v>
      </c>
      <c r="BZ50" s="15">
        <v>0</v>
      </c>
      <c r="CA50" s="15">
        <v>7200</v>
      </c>
      <c r="CB50" s="15">
        <v>53000</v>
      </c>
      <c r="CC50" s="15"/>
      <c r="CD50" s="15">
        <v>0</v>
      </c>
      <c r="CE50" s="15">
        <v>7200</v>
      </c>
      <c r="CF50" s="15">
        <v>0</v>
      </c>
      <c r="CG50" s="15">
        <v>0</v>
      </c>
      <c r="CH50" s="15">
        <v>0</v>
      </c>
      <c r="CI50" s="15">
        <v>0</v>
      </c>
      <c r="CJ50" s="15">
        <v>0</v>
      </c>
      <c r="CK50" s="15">
        <v>0</v>
      </c>
      <c r="CL50" s="15"/>
      <c r="CM50" s="15"/>
      <c r="CN50" s="15">
        <v>7200</v>
      </c>
      <c r="CO50" s="15"/>
      <c r="CP50" s="15">
        <v>0</v>
      </c>
      <c r="CQ50" s="15">
        <v>7200</v>
      </c>
      <c r="CR50" s="15">
        <v>7200</v>
      </c>
      <c r="CS50" s="15"/>
      <c r="CT50" s="15"/>
      <c r="CU50" s="15">
        <v>7200</v>
      </c>
      <c r="CV50" s="15">
        <v>7200</v>
      </c>
      <c r="CW50" s="15">
        <v>7200</v>
      </c>
    </row>
    <row r="51" spans="1:101" x14ac:dyDescent="0.75">
      <c r="A51" s="22">
        <v>49</v>
      </c>
      <c r="B51" s="15">
        <v>0</v>
      </c>
      <c r="C51" s="15">
        <v>98000</v>
      </c>
      <c r="D51" s="15">
        <v>7200</v>
      </c>
      <c r="E51" s="15">
        <v>0</v>
      </c>
      <c r="F51" s="15">
        <v>0</v>
      </c>
      <c r="G51" s="15"/>
      <c r="H51" s="15"/>
      <c r="I51" s="15">
        <v>7200</v>
      </c>
      <c r="J51" s="15">
        <v>94000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7200</v>
      </c>
      <c r="V51" s="15">
        <v>0</v>
      </c>
      <c r="W51" s="15">
        <v>0</v>
      </c>
      <c r="X51" s="15">
        <v>0</v>
      </c>
      <c r="Y51" s="15">
        <v>0</v>
      </c>
      <c r="Z51" s="15">
        <v>0</v>
      </c>
      <c r="AA51" s="15">
        <v>0</v>
      </c>
      <c r="AB51" s="15">
        <v>0</v>
      </c>
      <c r="AC51" s="15"/>
      <c r="AD51" s="15">
        <v>0</v>
      </c>
      <c r="AE51" s="15">
        <v>0</v>
      </c>
      <c r="AF51" s="15">
        <v>0</v>
      </c>
      <c r="AG51" s="15"/>
      <c r="AH51" s="15">
        <v>0</v>
      </c>
      <c r="AI51" s="15">
        <v>0</v>
      </c>
      <c r="AJ51" s="15"/>
      <c r="AK51" s="15"/>
      <c r="AL51" s="15">
        <v>50000</v>
      </c>
      <c r="AM51" s="15"/>
      <c r="AN51" s="15"/>
      <c r="AO51" s="15"/>
      <c r="AP51" s="15">
        <v>49000</v>
      </c>
      <c r="AQ51" s="15">
        <v>0</v>
      </c>
      <c r="AR51" s="15">
        <v>0</v>
      </c>
      <c r="AS51" s="15">
        <v>0</v>
      </c>
      <c r="AT51" s="15">
        <v>98000</v>
      </c>
      <c r="AU51" s="15">
        <v>0</v>
      </c>
      <c r="AV51" s="15">
        <v>0</v>
      </c>
      <c r="AW51" s="15">
        <v>0</v>
      </c>
      <c r="AX51" s="15">
        <v>0</v>
      </c>
      <c r="AY51" s="15">
        <v>0</v>
      </c>
      <c r="AZ51" s="15">
        <v>0</v>
      </c>
      <c r="BA51" s="15"/>
      <c r="BB51" s="15">
        <v>7200</v>
      </c>
      <c r="BC51" s="15">
        <v>0</v>
      </c>
      <c r="BD51" s="15">
        <v>0</v>
      </c>
      <c r="BE51" s="15">
        <v>0</v>
      </c>
      <c r="BF51" s="15"/>
      <c r="BG51" s="15">
        <v>7200</v>
      </c>
      <c r="BH51" s="15">
        <v>0</v>
      </c>
      <c r="BI51" s="15">
        <v>0</v>
      </c>
      <c r="BJ51" s="15">
        <v>0</v>
      </c>
      <c r="BK51" s="15">
        <v>0</v>
      </c>
      <c r="BL51" s="15">
        <v>0</v>
      </c>
      <c r="BM51" s="15">
        <v>0</v>
      </c>
      <c r="BN51" s="15">
        <v>0</v>
      </c>
      <c r="BO51" s="15">
        <v>0</v>
      </c>
      <c r="BP51" s="15">
        <v>0</v>
      </c>
      <c r="BQ51" s="15">
        <v>0</v>
      </c>
      <c r="BR51" s="15">
        <v>7200</v>
      </c>
      <c r="BS51" s="15">
        <v>0</v>
      </c>
      <c r="BT51" s="15">
        <v>0</v>
      </c>
      <c r="BU51" s="15">
        <v>0</v>
      </c>
      <c r="BV51" s="15">
        <v>99000</v>
      </c>
      <c r="BW51" s="15"/>
      <c r="BX51" s="15">
        <v>7200</v>
      </c>
      <c r="BY51" s="15">
        <v>7200</v>
      </c>
      <c r="BZ51" s="15">
        <v>0</v>
      </c>
      <c r="CA51" s="15">
        <v>7200</v>
      </c>
      <c r="CB51" s="15">
        <v>54000</v>
      </c>
      <c r="CC51" s="15"/>
      <c r="CD51" s="15">
        <v>0</v>
      </c>
      <c r="CE51" s="15">
        <v>7200</v>
      </c>
      <c r="CF51" s="15">
        <v>0</v>
      </c>
      <c r="CG51" s="15">
        <v>0</v>
      </c>
      <c r="CH51" s="15">
        <v>0</v>
      </c>
      <c r="CI51" s="15">
        <v>0</v>
      </c>
      <c r="CJ51" s="15">
        <v>0</v>
      </c>
      <c r="CK51" s="15"/>
      <c r="CL51" s="15"/>
      <c r="CM51" s="15"/>
      <c r="CN51" s="15"/>
      <c r="CO51" s="15"/>
      <c r="CP51" s="15"/>
      <c r="CQ51" s="15">
        <v>7200</v>
      </c>
      <c r="CR51" s="15">
        <v>7200</v>
      </c>
      <c r="CS51" s="15"/>
      <c r="CT51" s="15"/>
      <c r="CU51" s="15">
        <v>7200</v>
      </c>
      <c r="CV51" s="15">
        <v>7200</v>
      </c>
      <c r="CW51" s="15">
        <v>7200</v>
      </c>
    </row>
    <row r="52" spans="1:101" x14ac:dyDescent="0.75">
      <c r="A52" s="22">
        <v>50</v>
      </c>
      <c r="B52" s="15">
        <v>0</v>
      </c>
      <c r="C52" s="15">
        <v>99000</v>
      </c>
      <c r="D52" s="15">
        <v>7200</v>
      </c>
      <c r="E52" s="15">
        <v>0</v>
      </c>
      <c r="F52" s="15">
        <v>0</v>
      </c>
      <c r="G52" s="15"/>
      <c r="H52" s="15"/>
      <c r="I52" s="15">
        <v>7200</v>
      </c>
      <c r="J52" s="15">
        <v>95000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7200</v>
      </c>
      <c r="V52" s="15">
        <v>0</v>
      </c>
      <c r="W52" s="15">
        <v>0</v>
      </c>
      <c r="X52" s="15">
        <v>0</v>
      </c>
      <c r="Y52" s="15">
        <v>0</v>
      </c>
      <c r="Z52" s="15">
        <v>0</v>
      </c>
      <c r="AA52" s="15">
        <v>0</v>
      </c>
      <c r="AB52" s="15">
        <v>0</v>
      </c>
      <c r="AC52" s="15"/>
      <c r="AD52" s="15">
        <v>0</v>
      </c>
      <c r="AE52" s="15">
        <v>0</v>
      </c>
      <c r="AF52" s="15">
        <v>0</v>
      </c>
      <c r="AG52" s="15"/>
      <c r="AH52" s="15">
        <v>0</v>
      </c>
      <c r="AI52" s="15">
        <v>0</v>
      </c>
      <c r="AJ52" s="15"/>
      <c r="AK52" s="15"/>
      <c r="AL52" s="15">
        <v>51000</v>
      </c>
      <c r="AM52" s="15"/>
      <c r="AN52" s="15"/>
      <c r="AO52" s="15"/>
      <c r="AP52" s="15">
        <v>50000</v>
      </c>
      <c r="AQ52" s="15">
        <v>0</v>
      </c>
      <c r="AR52" s="15">
        <v>0</v>
      </c>
      <c r="AS52" s="15">
        <v>0</v>
      </c>
      <c r="AT52" s="15">
        <v>99000</v>
      </c>
      <c r="AU52" s="15">
        <v>0</v>
      </c>
      <c r="AV52" s="15">
        <v>0</v>
      </c>
      <c r="AW52" s="15">
        <v>0</v>
      </c>
      <c r="AX52" s="15">
        <v>0</v>
      </c>
      <c r="AY52" s="15">
        <v>0</v>
      </c>
      <c r="AZ52" s="15">
        <v>0</v>
      </c>
      <c r="BA52" s="15"/>
      <c r="BB52" s="15">
        <v>7200</v>
      </c>
      <c r="BC52" s="15">
        <v>0</v>
      </c>
      <c r="BD52" s="15">
        <v>0</v>
      </c>
      <c r="BE52" s="15">
        <v>0</v>
      </c>
      <c r="BF52" s="15"/>
      <c r="BG52" s="15">
        <v>7200</v>
      </c>
      <c r="BH52" s="15">
        <v>0</v>
      </c>
      <c r="BI52" s="15">
        <v>0</v>
      </c>
      <c r="BJ52" s="15">
        <v>0</v>
      </c>
      <c r="BK52" s="15">
        <v>0</v>
      </c>
      <c r="BL52" s="15">
        <v>0</v>
      </c>
      <c r="BM52" s="15">
        <v>0</v>
      </c>
      <c r="BN52" s="15">
        <v>0</v>
      </c>
      <c r="BO52" s="15">
        <v>0</v>
      </c>
      <c r="BP52" s="15">
        <v>0</v>
      </c>
      <c r="BQ52" s="15">
        <v>0</v>
      </c>
      <c r="BR52" s="15">
        <v>7200</v>
      </c>
      <c r="BS52" s="15">
        <v>0</v>
      </c>
      <c r="BT52" s="15">
        <v>0</v>
      </c>
      <c r="BU52" s="15">
        <v>0</v>
      </c>
      <c r="BV52" s="15">
        <v>0</v>
      </c>
      <c r="BW52" s="15"/>
      <c r="BX52" s="15">
        <v>7200</v>
      </c>
      <c r="BY52" s="15">
        <v>7200</v>
      </c>
      <c r="BZ52" s="15">
        <v>0</v>
      </c>
      <c r="CA52" s="15">
        <v>7200</v>
      </c>
      <c r="CB52" s="15">
        <v>0</v>
      </c>
      <c r="CC52" s="15"/>
      <c r="CD52" s="15"/>
      <c r="CE52" s="15">
        <v>7200</v>
      </c>
      <c r="CF52" s="15">
        <v>0</v>
      </c>
      <c r="CG52" s="15">
        <v>0</v>
      </c>
      <c r="CH52" s="15">
        <v>0</v>
      </c>
      <c r="CI52" s="15">
        <v>0</v>
      </c>
      <c r="CJ52" s="15">
        <v>0</v>
      </c>
      <c r="CK52" s="15"/>
      <c r="CL52" s="15"/>
      <c r="CM52" s="15"/>
      <c r="CN52" s="15"/>
      <c r="CO52" s="15"/>
      <c r="CP52" s="15"/>
      <c r="CQ52" s="15">
        <v>7200</v>
      </c>
      <c r="CR52" s="15">
        <v>7200</v>
      </c>
      <c r="CS52" s="15"/>
      <c r="CT52" s="15"/>
      <c r="CU52" s="15">
        <v>7200</v>
      </c>
      <c r="CV52" s="15">
        <v>7200</v>
      </c>
      <c r="CW52" s="15">
        <v>7200</v>
      </c>
    </row>
    <row r="53" spans="1:101" x14ac:dyDescent="0.75">
      <c r="A53" s="22">
        <v>51</v>
      </c>
      <c r="B53" s="15">
        <v>0</v>
      </c>
      <c r="C53" s="15">
        <v>0</v>
      </c>
      <c r="D53" s="15">
        <v>7200</v>
      </c>
      <c r="E53" s="15">
        <v>0</v>
      </c>
      <c r="F53" s="15">
        <v>0</v>
      </c>
      <c r="G53" s="15"/>
      <c r="H53" s="15"/>
      <c r="I53" s="15">
        <v>7200</v>
      </c>
      <c r="J53" s="15">
        <v>96000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7200</v>
      </c>
      <c r="V53" s="15">
        <v>0</v>
      </c>
      <c r="W53" s="15">
        <v>0</v>
      </c>
      <c r="X53" s="15">
        <v>0</v>
      </c>
      <c r="Y53" s="15">
        <v>0</v>
      </c>
      <c r="Z53" s="15">
        <v>0</v>
      </c>
      <c r="AA53" s="15">
        <v>0</v>
      </c>
      <c r="AB53" s="15">
        <v>0</v>
      </c>
      <c r="AC53" s="15"/>
      <c r="AD53" s="15">
        <v>0</v>
      </c>
      <c r="AE53" s="15">
        <v>0</v>
      </c>
      <c r="AF53" s="15">
        <v>0</v>
      </c>
      <c r="AG53" s="15"/>
      <c r="AH53" s="15">
        <v>0</v>
      </c>
      <c r="AI53" s="15">
        <v>0</v>
      </c>
      <c r="AJ53" s="15"/>
      <c r="AK53" s="15"/>
      <c r="AL53" s="15">
        <v>52000</v>
      </c>
      <c r="AM53" s="15"/>
      <c r="AN53" s="15"/>
      <c r="AO53" s="15"/>
      <c r="AP53" s="15">
        <v>51000</v>
      </c>
      <c r="AQ53" s="15">
        <v>0</v>
      </c>
      <c r="AR53" s="15">
        <v>0</v>
      </c>
      <c r="AS53" s="15">
        <v>0</v>
      </c>
      <c r="AT53" s="15">
        <v>0</v>
      </c>
      <c r="AU53" s="15">
        <v>0</v>
      </c>
      <c r="AV53" s="15">
        <v>0</v>
      </c>
      <c r="AW53" s="15">
        <v>0</v>
      </c>
      <c r="AX53" s="15">
        <v>0</v>
      </c>
      <c r="AY53" s="15">
        <v>0</v>
      </c>
      <c r="AZ53" s="15">
        <v>0</v>
      </c>
      <c r="BA53" s="15"/>
      <c r="BB53" s="15">
        <v>7200</v>
      </c>
      <c r="BC53" s="15">
        <v>0</v>
      </c>
      <c r="BD53" s="15">
        <v>0</v>
      </c>
      <c r="BE53" s="15">
        <v>0</v>
      </c>
      <c r="BF53" s="15"/>
      <c r="BG53" s="15">
        <v>7200</v>
      </c>
      <c r="BH53" s="15">
        <v>0</v>
      </c>
      <c r="BI53" s="15">
        <v>0</v>
      </c>
      <c r="BJ53" s="15">
        <v>0</v>
      </c>
      <c r="BK53" s="15">
        <v>0</v>
      </c>
      <c r="BL53" s="15">
        <v>0</v>
      </c>
      <c r="BM53" s="15">
        <v>0</v>
      </c>
      <c r="BN53" s="15">
        <v>0</v>
      </c>
      <c r="BO53" s="15">
        <v>0</v>
      </c>
      <c r="BP53" s="15">
        <v>0</v>
      </c>
      <c r="BQ53" s="15">
        <v>0</v>
      </c>
      <c r="BR53" s="15">
        <v>7200</v>
      </c>
      <c r="BS53" s="15">
        <v>0</v>
      </c>
      <c r="BT53" s="15">
        <v>0</v>
      </c>
      <c r="BU53" s="15">
        <v>0</v>
      </c>
      <c r="BV53" s="15">
        <v>0</v>
      </c>
      <c r="BW53" s="15"/>
      <c r="BX53" s="15">
        <v>7200</v>
      </c>
      <c r="BY53" s="15">
        <v>7200</v>
      </c>
      <c r="BZ53" s="15">
        <v>0</v>
      </c>
      <c r="CA53" s="15">
        <v>7200</v>
      </c>
      <c r="CB53" s="15">
        <v>0</v>
      </c>
      <c r="CC53" s="15"/>
      <c r="CD53" s="15"/>
      <c r="CE53" s="15">
        <v>7200</v>
      </c>
      <c r="CF53" s="15">
        <v>0</v>
      </c>
      <c r="CG53" s="15">
        <v>0</v>
      </c>
      <c r="CH53" s="15">
        <v>0</v>
      </c>
      <c r="CI53" s="15">
        <v>0</v>
      </c>
      <c r="CJ53" s="15">
        <v>0</v>
      </c>
      <c r="CK53" s="15"/>
      <c r="CL53" s="15"/>
      <c r="CM53" s="15"/>
      <c r="CN53" s="15"/>
      <c r="CO53" s="15"/>
      <c r="CP53" s="15"/>
      <c r="CQ53" s="15">
        <v>7200</v>
      </c>
      <c r="CR53" s="15">
        <v>7200</v>
      </c>
      <c r="CS53" s="15"/>
      <c r="CT53" s="15"/>
      <c r="CU53" s="15">
        <v>7200</v>
      </c>
      <c r="CV53" s="15">
        <v>7200</v>
      </c>
      <c r="CW53" s="15"/>
    </row>
    <row r="54" spans="1:101" x14ac:dyDescent="0.75">
      <c r="A54" s="22">
        <v>52</v>
      </c>
      <c r="B54" s="16"/>
      <c r="C54" s="15">
        <v>0</v>
      </c>
      <c r="D54" s="15">
        <v>7200</v>
      </c>
      <c r="E54" s="15">
        <v>0</v>
      </c>
      <c r="F54" s="15">
        <v>0</v>
      </c>
      <c r="G54" s="16"/>
      <c r="H54" s="16"/>
      <c r="I54" s="15">
        <v>7200</v>
      </c>
      <c r="J54" s="15">
        <v>97000</v>
      </c>
      <c r="K54" s="15">
        <v>0</v>
      </c>
      <c r="L54" s="15">
        <v>0</v>
      </c>
      <c r="M54" s="15">
        <v>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7200</v>
      </c>
      <c r="V54" s="15">
        <v>0</v>
      </c>
      <c r="W54" s="15">
        <v>0</v>
      </c>
      <c r="X54" s="15">
        <v>0</v>
      </c>
      <c r="Y54" s="15">
        <v>0</v>
      </c>
      <c r="Z54" s="15">
        <v>0</v>
      </c>
      <c r="AA54" s="15">
        <v>0</v>
      </c>
      <c r="AB54" s="15">
        <v>0</v>
      </c>
      <c r="AC54" s="16"/>
      <c r="AD54" s="15">
        <v>0</v>
      </c>
      <c r="AE54" s="16"/>
      <c r="AF54" s="15">
        <v>0</v>
      </c>
      <c r="AG54" s="16"/>
      <c r="AH54" s="15">
        <v>0</v>
      </c>
      <c r="AI54" s="15">
        <v>0</v>
      </c>
      <c r="AJ54" s="16"/>
      <c r="AK54" s="16"/>
      <c r="AL54" s="15">
        <v>53000</v>
      </c>
      <c r="AM54" s="16"/>
      <c r="AN54" s="16"/>
      <c r="AO54" s="16"/>
      <c r="AP54" s="15">
        <v>52000</v>
      </c>
      <c r="AQ54" s="15">
        <v>0</v>
      </c>
      <c r="AR54" s="15">
        <v>0</v>
      </c>
      <c r="AS54" s="15">
        <v>0</v>
      </c>
      <c r="AT54" s="15">
        <v>0</v>
      </c>
      <c r="AU54" s="15">
        <v>0</v>
      </c>
      <c r="AV54" s="15">
        <v>0</v>
      </c>
      <c r="AW54" s="15">
        <v>0</v>
      </c>
      <c r="AX54" s="16"/>
      <c r="AY54" s="15">
        <v>0</v>
      </c>
      <c r="AZ54" s="15">
        <v>0</v>
      </c>
      <c r="BA54" s="16"/>
      <c r="BB54" s="15">
        <v>7200</v>
      </c>
      <c r="BC54" s="15">
        <v>0</v>
      </c>
      <c r="BD54" s="15">
        <v>0</v>
      </c>
      <c r="BE54" s="15">
        <v>0</v>
      </c>
      <c r="BF54" s="16"/>
      <c r="BG54" s="15">
        <v>7200</v>
      </c>
      <c r="BH54" s="15">
        <v>0</v>
      </c>
      <c r="BI54" s="15">
        <v>0</v>
      </c>
      <c r="BJ54" s="15">
        <v>0</v>
      </c>
      <c r="BK54" s="15">
        <v>0</v>
      </c>
      <c r="BL54" s="15">
        <v>0</v>
      </c>
      <c r="BM54" s="15">
        <v>0</v>
      </c>
      <c r="BN54" s="15">
        <v>0</v>
      </c>
      <c r="BO54" s="15">
        <v>0</v>
      </c>
      <c r="BP54" s="16"/>
      <c r="BQ54" s="15">
        <v>0</v>
      </c>
      <c r="BR54" s="15">
        <v>7200</v>
      </c>
      <c r="BS54" s="15">
        <v>0</v>
      </c>
      <c r="BT54" s="15">
        <v>0</v>
      </c>
      <c r="BU54" s="15">
        <v>0</v>
      </c>
      <c r="BV54" s="15">
        <v>0</v>
      </c>
      <c r="BW54" s="16"/>
      <c r="BX54" s="15">
        <v>7200</v>
      </c>
      <c r="BY54" s="15">
        <v>7200</v>
      </c>
      <c r="BZ54" s="15">
        <v>0</v>
      </c>
      <c r="CA54" s="15">
        <v>7200</v>
      </c>
      <c r="CB54" s="15">
        <v>0</v>
      </c>
      <c r="CC54" s="16"/>
      <c r="CD54" s="16"/>
      <c r="CE54" s="15">
        <v>7200</v>
      </c>
      <c r="CF54" s="15">
        <v>0</v>
      </c>
      <c r="CG54" s="15">
        <v>0</v>
      </c>
      <c r="CH54" s="15">
        <v>0</v>
      </c>
      <c r="CI54" s="15">
        <v>0</v>
      </c>
      <c r="CJ54" s="16"/>
      <c r="CK54" s="16"/>
      <c r="CL54" s="16"/>
      <c r="CM54" s="16"/>
      <c r="CN54" s="16"/>
      <c r="CO54" s="16"/>
      <c r="CP54" s="16"/>
      <c r="CQ54" s="15">
        <v>7200</v>
      </c>
      <c r="CR54" s="15">
        <v>7200</v>
      </c>
      <c r="CS54" s="16"/>
      <c r="CT54" s="16"/>
      <c r="CU54" s="15">
        <v>7200</v>
      </c>
      <c r="CV54" s="15">
        <v>7200</v>
      </c>
      <c r="CW54" s="16"/>
    </row>
    <row r="55" spans="1:101" x14ac:dyDescent="0.75">
      <c r="A55" s="22">
        <v>53</v>
      </c>
      <c r="B55" s="16"/>
      <c r="C55" s="15">
        <v>0</v>
      </c>
      <c r="D55" s="15">
        <v>7200</v>
      </c>
      <c r="E55" s="15">
        <v>0</v>
      </c>
      <c r="F55" s="15">
        <v>0</v>
      </c>
      <c r="G55" s="16"/>
      <c r="H55" s="16"/>
      <c r="I55" s="15">
        <v>7200</v>
      </c>
      <c r="J55" s="15">
        <v>98000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7200</v>
      </c>
      <c r="V55" s="15">
        <v>0</v>
      </c>
      <c r="W55" s="15">
        <v>0</v>
      </c>
      <c r="X55" s="15">
        <v>0</v>
      </c>
      <c r="Y55" s="15">
        <v>0</v>
      </c>
      <c r="Z55" s="15">
        <v>0</v>
      </c>
      <c r="AA55" s="15">
        <v>0</v>
      </c>
      <c r="AB55" s="15">
        <v>0</v>
      </c>
      <c r="AC55" s="16"/>
      <c r="AD55" s="15">
        <v>0</v>
      </c>
      <c r="AE55" s="16"/>
      <c r="AF55" s="15">
        <v>0</v>
      </c>
      <c r="AG55" s="16"/>
      <c r="AH55" s="15">
        <v>0</v>
      </c>
      <c r="AI55" s="15">
        <v>0</v>
      </c>
      <c r="AJ55" s="16"/>
      <c r="AK55" s="16"/>
      <c r="AL55" s="15">
        <v>54000</v>
      </c>
      <c r="AM55" s="16"/>
      <c r="AN55" s="16"/>
      <c r="AO55" s="16"/>
      <c r="AP55" s="15">
        <v>53000</v>
      </c>
      <c r="AQ55" s="15">
        <v>0</v>
      </c>
      <c r="AR55" s="15">
        <v>0</v>
      </c>
      <c r="AS55" s="15">
        <v>0</v>
      </c>
      <c r="AT55" s="15">
        <v>0</v>
      </c>
      <c r="AU55" s="15">
        <v>0</v>
      </c>
      <c r="AV55" s="15">
        <v>0</v>
      </c>
      <c r="AW55" s="15">
        <v>0</v>
      </c>
      <c r="AX55" s="16"/>
      <c r="AY55" s="16"/>
      <c r="AZ55" s="15">
        <v>0</v>
      </c>
      <c r="BA55" s="16"/>
      <c r="BB55" s="15">
        <v>7200</v>
      </c>
      <c r="BC55" s="15">
        <v>0</v>
      </c>
      <c r="BD55" s="15">
        <v>0</v>
      </c>
      <c r="BE55" s="15">
        <v>0</v>
      </c>
      <c r="BF55" s="16"/>
      <c r="BG55" s="15">
        <v>7200</v>
      </c>
      <c r="BH55" s="15">
        <v>0</v>
      </c>
      <c r="BI55" s="15">
        <v>0</v>
      </c>
      <c r="BJ55" s="15">
        <v>0</v>
      </c>
      <c r="BK55" s="15">
        <v>0</v>
      </c>
      <c r="BL55" s="15">
        <v>0</v>
      </c>
      <c r="BM55" s="15">
        <v>0</v>
      </c>
      <c r="BN55" s="15">
        <v>0</v>
      </c>
      <c r="BO55" s="15">
        <v>0</v>
      </c>
      <c r="BP55" s="16"/>
      <c r="BQ55" s="15">
        <v>0</v>
      </c>
      <c r="BR55" s="15">
        <v>7200</v>
      </c>
      <c r="BS55" s="15">
        <v>0</v>
      </c>
      <c r="BT55" s="15">
        <v>0</v>
      </c>
      <c r="BU55" s="15">
        <v>0</v>
      </c>
      <c r="BV55" s="15">
        <v>0</v>
      </c>
      <c r="BW55" s="16"/>
      <c r="BX55" s="15">
        <v>7200</v>
      </c>
      <c r="BY55" s="15">
        <v>7200</v>
      </c>
      <c r="BZ55" s="15">
        <v>0</v>
      </c>
      <c r="CA55" s="15">
        <v>7200</v>
      </c>
      <c r="CB55" s="15">
        <v>0</v>
      </c>
      <c r="CC55" s="16"/>
      <c r="CD55" s="16"/>
      <c r="CE55" s="15">
        <v>7200</v>
      </c>
      <c r="CF55" s="15">
        <v>0</v>
      </c>
      <c r="CG55" s="15">
        <v>0</v>
      </c>
      <c r="CH55" s="15">
        <v>0</v>
      </c>
      <c r="CI55" s="15">
        <v>0</v>
      </c>
      <c r="CJ55" s="16"/>
      <c r="CK55" s="16"/>
      <c r="CL55" s="16"/>
      <c r="CM55" s="16"/>
      <c r="CN55" s="16"/>
      <c r="CO55" s="16"/>
      <c r="CP55" s="16"/>
      <c r="CQ55" s="15">
        <v>7200</v>
      </c>
      <c r="CR55" s="15">
        <v>7200</v>
      </c>
      <c r="CS55" s="16"/>
      <c r="CT55" s="16"/>
      <c r="CU55" s="15">
        <v>7200</v>
      </c>
      <c r="CV55" s="15">
        <v>7200</v>
      </c>
      <c r="CW55" s="16"/>
    </row>
    <row r="56" spans="1:101" x14ac:dyDescent="0.75">
      <c r="A56" s="22">
        <v>54</v>
      </c>
      <c r="B56" s="16"/>
      <c r="C56" s="15">
        <v>0</v>
      </c>
      <c r="D56" s="15">
        <v>7200</v>
      </c>
      <c r="E56" s="15">
        <v>0</v>
      </c>
      <c r="F56" s="15">
        <v>0</v>
      </c>
      <c r="G56" s="16"/>
      <c r="H56" s="16"/>
      <c r="I56" s="15">
        <v>7200</v>
      </c>
      <c r="J56" s="15">
        <v>99000</v>
      </c>
      <c r="K56" s="16"/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7200</v>
      </c>
      <c r="V56" s="15">
        <v>0</v>
      </c>
      <c r="W56" s="16"/>
      <c r="X56" s="15">
        <v>0</v>
      </c>
      <c r="Y56" s="15">
        <v>0</v>
      </c>
      <c r="Z56" s="15">
        <v>0</v>
      </c>
      <c r="AA56" s="15">
        <v>0</v>
      </c>
      <c r="AB56" s="15">
        <v>0</v>
      </c>
      <c r="AC56" s="16"/>
      <c r="AD56" s="15">
        <v>0</v>
      </c>
      <c r="AE56" s="16"/>
      <c r="AF56" s="15">
        <v>0</v>
      </c>
      <c r="AG56" s="16"/>
      <c r="AH56" s="15">
        <v>0</v>
      </c>
      <c r="AI56" s="15">
        <v>0</v>
      </c>
      <c r="AJ56" s="16"/>
      <c r="AK56" s="16"/>
      <c r="AL56" s="15">
        <v>0</v>
      </c>
      <c r="AM56" s="16"/>
      <c r="AN56" s="16"/>
      <c r="AO56" s="16"/>
      <c r="AP56" s="15">
        <v>54000</v>
      </c>
      <c r="AQ56" s="15">
        <v>0</v>
      </c>
      <c r="AR56" s="15">
        <v>0</v>
      </c>
      <c r="AS56" s="15">
        <v>0</v>
      </c>
      <c r="AT56" s="15">
        <v>0</v>
      </c>
      <c r="AU56" s="15">
        <v>0</v>
      </c>
      <c r="AV56" s="15">
        <v>0</v>
      </c>
      <c r="AW56" s="16"/>
      <c r="AX56" s="16"/>
      <c r="AY56" s="16"/>
      <c r="AZ56" s="15">
        <v>0</v>
      </c>
      <c r="BA56" s="16"/>
      <c r="BB56" s="15">
        <v>7200</v>
      </c>
      <c r="BC56" s="15">
        <v>0</v>
      </c>
      <c r="BD56" s="15">
        <v>0</v>
      </c>
      <c r="BE56" s="16"/>
      <c r="BF56" s="16"/>
      <c r="BG56" s="15">
        <v>7200</v>
      </c>
      <c r="BH56" s="15">
        <v>0</v>
      </c>
      <c r="BI56" s="15">
        <v>0</v>
      </c>
      <c r="BJ56" s="15">
        <v>0</v>
      </c>
      <c r="BK56" s="15">
        <v>0</v>
      </c>
      <c r="BL56" s="15">
        <v>0</v>
      </c>
      <c r="BM56" s="16"/>
      <c r="BN56" s="15">
        <v>0</v>
      </c>
      <c r="BO56" s="15">
        <v>0</v>
      </c>
      <c r="BP56" s="16"/>
      <c r="BQ56" s="15">
        <v>0</v>
      </c>
      <c r="BR56" s="15">
        <v>7200</v>
      </c>
      <c r="BS56" s="15">
        <v>0</v>
      </c>
      <c r="BT56" s="15">
        <v>0</v>
      </c>
      <c r="BU56" s="15">
        <v>0</v>
      </c>
      <c r="BV56" s="15">
        <v>0</v>
      </c>
      <c r="BW56" s="16"/>
      <c r="BX56" s="15">
        <v>7200</v>
      </c>
      <c r="BY56" s="15">
        <v>7200</v>
      </c>
      <c r="BZ56" s="15">
        <v>0</v>
      </c>
      <c r="CA56" s="15">
        <v>7200</v>
      </c>
      <c r="CB56" s="15">
        <v>0</v>
      </c>
      <c r="CC56" s="16"/>
      <c r="CD56" s="16"/>
      <c r="CE56" s="15">
        <v>7200</v>
      </c>
      <c r="CF56" s="15">
        <v>0</v>
      </c>
      <c r="CG56" s="15">
        <v>0</v>
      </c>
      <c r="CH56" s="15">
        <v>0</v>
      </c>
      <c r="CI56" s="15">
        <v>0</v>
      </c>
      <c r="CJ56" s="16"/>
      <c r="CK56" s="16"/>
      <c r="CL56" s="16"/>
      <c r="CM56" s="16"/>
      <c r="CN56" s="16"/>
      <c r="CO56" s="16"/>
      <c r="CP56" s="16"/>
      <c r="CQ56" s="15">
        <v>7200</v>
      </c>
      <c r="CR56" s="15">
        <v>7200</v>
      </c>
      <c r="CS56" s="16"/>
      <c r="CT56" s="16"/>
      <c r="CU56" s="16"/>
      <c r="CV56" s="15">
        <v>7200</v>
      </c>
      <c r="CW56" s="16"/>
    </row>
    <row r="57" spans="1:101" x14ac:dyDescent="0.75">
      <c r="A57" s="22">
        <v>55</v>
      </c>
      <c r="B57" s="16"/>
      <c r="C57" s="15">
        <v>0</v>
      </c>
      <c r="D57" s="15">
        <v>7200</v>
      </c>
      <c r="E57" s="15">
        <v>0</v>
      </c>
      <c r="F57" s="15">
        <v>0</v>
      </c>
      <c r="G57" s="16"/>
      <c r="H57" s="16"/>
      <c r="I57" s="15">
        <v>7200</v>
      </c>
      <c r="J57" s="15">
        <v>0</v>
      </c>
      <c r="K57" s="16"/>
      <c r="L57" s="15">
        <v>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7200</v>
      </c>
      <c r="V57" s="15">
        <v>0</v>
      </c>
      <c r="W57" s="16"/>
      <c r="X57" s="15">
        <v>0</v>
      </c>
      <c r="Y57" s="15">
        <v>0</v>
      </c>
      <c r="Z57" s="15">
        <v>0</v>
      </c>
      <c r="AA57" s="16"/>
      <c r="AB57" s="15">
        <v>0</v>
      </c>
      <c r="AC57" s="16"/>
      <c r="AD57" s="15">
        <v>0</v>
      </c>
      <c r="AE57" s="16"/>
      <c r="AF57" s="15">
        <v>0</v>
      </c>
      <c r="AG57" s="16"/>
      <c r="AH57" s="15">
        <v>0</v>
      </c>
      <c r="AI57" s="15">
        <v>0</v>
      </c>
      <c r="AJ57" s="16"/>
      <c r="AK57" s="16"/>
      <c r="AL57" s="15">
        <v>0</v>
      </c>
      <c r="AM57" s="16"/>
      <c r="AN57" s="16"/>
      <c r="AO57" s="16"/>
      <c r="AP57" s="15">
        <v>0</v>
      </c>
      <c r="AQ57" s="15">
        <v>0</v>
      </c>
      <c r="AR57" s="15">
        <v>0</v>
      </c>
      <c r="AS57" s="15">
        <v>0</v>
      </c>
      <c r="AT57" s="15">
        <v>0</v>
      </c>
      <c r="AU57" s="15">
        <v>0</v>
      </c>
      <c r="AV57" s="15">
        <v>0</v>
      </c>
      <c r="AW57" s="16"/>
      <c r="AX57" s="16"/>
      <c r="AY57" s="16"/>
      <c r="AZ57" s="15">
        <v>0</v>
      </c>
      <c r="BA57" s="16"/>
      <c r="BB57" s="15">
        <v>7200</v>
      </c>
      <c r="BC57" s="15">
        <v>0</v>
      </c>
      <c r="BD57" s="15">
        <v>0</v>
      </c>
      <c r="BE57" s="16"/>
      <c r="BF57" s="16"/>
      <c r="BG57" s="15">
        <v>7200</v>
      </c>
      <c r="BH57" s="15">
        <v>0</v>
      </c>
      <c r="BI57" s="15">
        <v>0</v>
      </c>
      <c r="BJ57" s="15">
        <v>0</v>
      </c>
      <c r="BK57" s="15">
        <v>0</v>
      </c>
      <c r="BL57" s="15">
        <v>0</v>
      </c>
      <c r="BM57" s="16"/>
      <c r="BN57" s="15">
        <v>0</v>
      </c>
      <c r="BO57" s="15">
        <v>0</v>
      </c>
      <c r="BP57" s="16"/>
      <c r="BQ57" s="15">
        <v>0</v>
      </c>
      <c r="BR57" s="15">
        <v>7200</v>
      </c>
      <c r="BS57" s="15">
        <v>0</v>
      </c>
      <c r="BT57" s="15">
        <v>0</v>
      </c>
      <c r="BU57" s="15">
        <v>0</v>
      </c>
      <c r="BV57" s="15">
        <v>0</v>
      </c>
      <c r="BW57" s="16"/>
      <c r="BX57" s="16"/>
      <c r="BY57" s="15">
        <v>7200</v>
      </c>
      <c r="BZ57" s="15">
        <v>0</v>
      </c>
      <c r="CA57" s="15">
        <v>7200</v>
      </c>
      <c r="CB57" s="15">
        <v>0</v>
      </c>
      <c r="CC57" s="16"/>
      <c r="CD57" s="16"/>
      <c r="CE57" s="16"/>
      <c r="CF57" s="15">
        <v>0</v>
      </c>
      <c r="CG57" s="15">
        <v>0</v>
      </c>
      <c r="CH57" s="15">
        <v>0</v>
      </c>
      <c r="CI57" s="15">
        <v>0</v>
      </c>
      <c r="CJ57" s="16"/>
      <c r="CK57" s="16"/>
      <c r="CL57" s="16"/>
      <c r="CM57" s="16"/>
      <c r="CN57" s="16"/>
      <c r="CO57" s="16"/>
      <c r="CP57" s="16"/>
      <c r="CQ57" s="15">
        <v>7200</v>
      </c>
      <c r="CR57" s="15">
        <v>7200</v>
      </c>
      <c r="CS57" s="16"/>
      <c r="CT57" s="16"/>
      <c r="CU57" s="16"/>
      <c r="CV57" s="15">
        <v>7200</v>
      </c>
      <c r="CW57" s="16"/>
    </row>
    <row r="58" spans="1:101" x14ac:dyDescent="0.75">
      <c r="A58" s="22">
        <v>56</v>
      </c>
      <c r="B58" s="16"/>
      <c r="C58" s="15">
        <v>0</v>
      </c>
      <c r="D58" s="15">
        <v>7200</v>
      </c>
      <c r="E58" s="15">
        <v>0</v>
      </c>
      <c r="F58" s="15">
        <v>0</v>
      </c>
      <c r="G58" s="16"/>
      <c r="H58" s="16"/>
      <c r="I58" s="15">
        <v>7200</v>
      </c>
      <c r="J58" s="15">
        <v>0</v>
      </c>
      <c r="K58" s="16"/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6"/>
      <c r="R58" s="15">
        <v>0</v>
      </c>
      <c r="S58" s="16"/>
      <c r="T58" s="15">
        <v>0</v>
      </c>
      <c r="U58" s="15">
        <v>7200</v>
      </c>
      <c r="V58" s="15">
        <v>0</v>
      </c>
      <c r="W58" s="16"/>
      <c r="X58" s="15">
        <v>0</v>
      </c>
      <c r="Y58" s="15">
        <v>0</v>
      </c>
      <c r="Z58" s="15">
        <v>0</v>
      </c>
      <c r="AA58" s="16"/>
      <c r="AB58" s="15">
        <v>0</v>
      </c>
      <c r="AC58" s="16"/>
      <c r="AD58" s="15">
        <v>0</v>
      </c>
      <c r="AE58" s="16"/>
      <c r="AF58" s="15">
        <v>0</v>
      </c>
      <c r="AG58" s="16"/>
      <c r="AH58" s="15">
        <v>0</v>
      </c>
      <c r="AI58" s="15">
        <v>0</v>
      </c>
      <c r="AJ58" s="16"/>
      <c r="AK58" s="16"/>
      <c r="AL58" s="15">
        <v>0</v>
      </c>
      <c r="AM58" s="16"/>
      <c r="AN58" s="16"/>
      <c r="AO58" s="16"/>
      <c r="AP58" s="15">
        <v>0</v>
      </c>
      <c r="AQ58" s="15">
        <v>0</v>
      </c>
      <c r="AR58" s="15">
        <v>0</v>
      </c>
      <c r="AS58" s="15">
        <v>0</v>
      </c>
      <c r="AT58" s="15">
        <v>0</v>
      </c>
      <c r="AU58" s="15">
        <v>0</v>
      </c>
      <c r="AV58" s="15">
        <v>0</v>
      </c>
      <c r="AW58" s="16"/>
      <c r="AX58" s="16"/>
      <c r="AY58" s="16"/>
      <c r="AZ58" s="15">
        <v>0</v>
      </c>
      <c r="BA58" s="16"/>
      <c r="BB58" s="15">
        <v>7200</v>
      </c>
      <c r="BC58" s="15">
        <v>0</v>
      </c>
      <c r="BD58" s="16"/>
      <c r="BE58" s="16"/>
      <c r="BF58" s="16"/>
      <c r="BG58" s="15">
        <v>7200</v>
      </c>
      <c r="BH58" s="15">
        <v>0</v>
      </c>
      <c r="BI58" s="15">
        <v>0</v>
      </c>
      <c r="BJ58" s="15">
        <v>0</v>
      </c>
      <c r="BK58" s="15">
        <v>0</v>
      </c>
      <c r="BL58" s="15">
        <v>0</v>
      </c>
      <c r="BM58" s="16"/>
      <c r="BN58" s="15">
        <v>0</v>
      </c>
      <c r="BO58" s="15">
        <v>0</v>
      </c>
      <c r="BP58" s="16"/>
      <c r="BQ58" s="15">
        <v>0</v>
      </c>
      <c r="BR58" s="15">
        <v>7200</v>
      </c>
      <c r="BS58" s="15">
        <v>0</v>
      </c>
      <c r="BT58" s="15">
        <v>0</v>
      </c>
      <c r="BU58" s="16"/>
      <c r="BV58" s="15">
        <v>0</v>
      </c>
      <c r="BW58" s="16"/>
      <c r="BX58" s="16"/>
      <c r="BY58" s="15">
        <v>7200</v>
      </c>
      <c r="BZ58" s="15">
        <v>0</v>
      </c>
      <c r="CA58" s="15">
        <v>7200</v>
      </c>
      <c r="CB58" s="15">
        <v>0</v>
      </c>
      <c r="CC58" s="16"/>
      <c r="CD58" s="16"/>
      <c r="CE58" s="16"/>
      <c r="CF58" s="15">
        <v>0</v>
      </c>
      <c r="CG58" s="15">
        <v>0</v>
      </c>
      <c r="CH58" s="15">
        <v>0</v>
      </c>
      <c r="CI58" s="15">
        <v>0</v>
      </c>
      <c r="CJ58" s="16"/>
      <c r="CK58" s="16"/>
      <c r="CL58" s="16"/>
      <c r="CM58" s="16"/>
      <c r="CN58" s="16"/>
      <c r="CO58" s="16"/>
      <c r="CP58" s="16"/>
      <c r="CQ58" s="15">
        <v>7200</v>
      </c>
      <c r="CR58" s="15">
        <v>7200</v>
      </c>
      <c r="CS58" s="16"/>
      <c r="CT58" s="16"/>
      <c r="CU58" s="16"/>
      <c r="CV58" s="15">
        <v>7200</v>
      </c>
      <c r="CW58" s="16"/>
    </row>
    <row r="59" spans="1:101" x14ac:dyDescent="0.75">
      <c r="A59" s="22">
        <v>57</v>
      </c>
      <c r="B59" s="16"/>
      <c r="C59" s="15">
        <v>0</v>
      </c>
      <c r="D59" s="15">
        <v>7200</v>
      </c>
      <c r="E59" s="15">
        <v>0</v>
      </c>
      <c r="F59" s="15">
        <v>0</v>
      </c>
      <c r="G59" s="16"/>
      <c r="H59" s="16"/>
      <c r="I59" s="15">
        <v>7200</v>
      </c>
      <c r="J59" s="15">
        <v>0</v>
      </c>
      <c r="K59" s="16"/>
      <c r="L59" s="16"/>
      <c r="M59" s="16"/>
      <c r="N59" s="15">
        <v>0</v>
      </c>
      <c r="O59" s="15">
        <v>0</v>
      </c>
      <c r="P59" s="15">
        <v>0</v>
      </c>
      <c r="Q59" s="16"/>
      <c r="R59" s="15">
        <v>0</v>
      </c>
      <c r="S59" s="16"/>
      <c r="T59" s="15">
        <v>0</v>
      </c>
      <c r="U59" s="15">
        <v>7200</v>
      </c>
      <c r="V59" s="15">
        <v>0</v>
      </c>
      <c r="W59" s="16"/>
      <c r="X59" s="15">
        <v>0</v>
      </c>
      <c r="Y59" s="15">
        <v>0</v>
      </c>
      <c r="Z59" s="15">
        <v>0</v>
      </c>
      <c r="AA59" s="16"/>
      <c r="AB59" s="15">
        <v>0</v>
      </c>
      <c r="AC59" s="16"/>
      <c r="AD59" s="15">
        <v>0</v>
      </c>
      <c r="AE59" s="16"/>
      <c r="AF59" s="15">
        <v>0</v>
      </c>
      <c r="AG59" s="16"/>
      <c r="AH59" s="15">
        <v>0</v>
      </c>
      <c r="AI59" s="15">
        <v>0</v>
      </c>
      <c r="AJ59" s="16"/>
      <c r="AK59" s="16"/>
      <c r="AL59" s="15">
        <v>0</v>
      </c>
      <c r="AM59" s="16"/>
      <c r="AN59" s="16"/>
      <c r="AO59" s="16"/>
      <c r="AP59" s="15">
        <v>0</v>
      </c>
      <c r="AQ59" s="15">
        <v>0</v>
      </c>
      <c r="AR59" s="15">
        <v>0</v>
      </c>
      <c r="AS59" s="15">
        <v>0</v>
      </c>
      <c r="AT59" s="15">
        <v>0</v>
      </c>
      <c r="AU59" s="15">
        <v>0</v>
      </c>
      <c r="AV59" s="16"/>
      <c r="AW59" s="16"/>
      <c r="AX59" s="16"/>
      <c r="AY59" s="16"/>
      <c r="AZ59" s="15">
        <v>0</v>
      </c>
      <c r="BA59" s="16"/>
      <c r="BB59" s="15">
        <v>7200</v>
      </c>
      <c r="BC59" s="15">
        <v>0</v>
      </c>
      <c r="BD59" s="16"/>
      <c r="BE59" s="16"/>
      <c r="BF59" s="16"/>
      <c r="BG59" s="15">
        <v>7200</v>
      </c>
      <c r="BH59" s="16"/>
      <c r="BI59" s="15">
        <v>0</v>
      </c>
      <c r="BJ59" s="15">
        <v>0</v>
      </c>
      <c r="BK59" s="15">
        <v>0</v>
      </c>
      <c r="BL59" s="15">
        <v>0</v>
      </c>
      <c r="BM59" s="16"/>
      <c r="BN59" s="15">
        <v>0</v>
      </c>
      <c r="BO59" s="15">
        <v>0</v>
      </c>
      <c r="BP59" s="16"/>
      <c r="BQ59" s="15">
        <v>0</v>
      </c>
      <c r="BR59" s="15">
        <v>7200</v>
      </c>
      <c r="BS59" s="15">
        <v>0</v>
      </c>
      <c r="BT59" s="15">
        <v>0</v>
      </c>
      <c r="BU59" s="16"/>
      <c r="BV59" s="15">
        <v>0</v>
      </c>
      <c r="BW59" s="16"/>
      <c r="BX59" s="16"/>
      <c r="BY59" s="15">
        <v>7200</v>
      </c>
      <c r="BZ59" s="15">
        <v>0</v>
      </c>
      <c r="CA59" s="15">
        <v>7200</v>
      </c>
      <c r="CB59" s="15">
        <v>0</v>
      </c>
      <c r="CC59" s="16"/>
      <c r="CD59" s="16"/>
      <c r="CE59" s="16"/>
      <c r="CF59" s="15">
        <v>0</v>
      </c>
      <c r="CG59" s="15">
        <v>0</v>
      </c>
      <c r="CH59" s="15">
        <v>0</v>
      </c>
      <c r="CI59" s="15">
        <v>0</v>
      </c>
      <c r="CJ59" s="16"/>
      <c r="CK59" s="16"/>
      <c r="CL59" s="16"/>
      <c r="CM59" s="16"/>
      <c r="CN59" s="16"/>
      <c r="CO59" s="16"/>
      <c r="CP59" s="16"/>
      <c r="CQ59" s="15">
        <v>7200</v>
      </c>
      <c r="CR59" s="16"/>
      <c r="CS59" s="16"/>
      <c r="CT59" s="16"/>
      <c r="CU59" s="16"/>
      <c r="CV59" s="15">
        <v>7200</v>
      </c>
      <c r="CW59" s="16"/>
    </row>
    <row r="60" spans="1:101" x14ac:dyDescent="0.75">
      <c r="A60" s="22">
        <v>58</v>
      </c>
      <c r="B60" s="16"/>
      <c r="C60" s="15">
        <v>0</v>
      </c>
      <c r="D60" s="15">
        <v>7200</v>
      </c>
      <c r="E60" s="15">
        <v>0</v>
      </c>
      <c r="F60" s="15">
        <v>0</v>
      </c>
      <c r="G60" s="16"/>
      <c r="H60" s="16"/>
      <c r="I60" s="15">
        <v>7200</v>
      </c>
      <c r="J60" s="15">
        <v>0</v>
      </c>
      <c r="K60" s="16"/>
      <c r="L60" s="16"/>
      <c r="M60" s="16"/>
      <c r="N60" s="15">
        <v>0</v>
      </c>
      <c r="O60" s="15">
        <v>0</v>
      </c>
      <c r="P60" s="15">
        <v>0</v>
      </c>
      <c r="Q60" s="16"/>
      <c r="R60" s="15">
        <v>0</v>
      </c>
      <c r="S60" s="16"/>
      <c r="T60" s="15">
        <v>0</v>
      </c>
      <c r="U60" s="15">
        <v>7200</v>
      </c>
      <c r="V60" s="15">
        <v>0</v>
      </c>
      <c r="W60" s="16"/>
      <c r="X60" s="15">
        <v>0</v>
      </c>
      <c r="Y60" s="15">
        <v>0</v>
      </c>
      <c r="Z60" s="15">
        <v>0</v>
      </c>
      <c r="AA60" s="16"/>
      <c r="AB60" s="15">
        <v>0</v>
      </c>
      <c r="AC60" s="16"/>
      <c r="AD60" s="15">
        <v>0</v>
      </c>
      <c r="AE60" s="16"/>
      <c r="AF60" s="15">
        <v>0</v>
      </c>
      <c r="AG60" s="16"/>
      <c r="AH60" s="15">
        <v>0</v>
      </c>
      <c r="AI60" s="15">
        <v>0</v>
      </c>
      <c r="AJ60" s="16"/>
      <c r="AK60" s="16"/>
      <c r="AL60" s="15">
        <v>0</v>
      </c>
      <c r="AM60" s="16"/>
      <c r="AN60" s="16"/>
      <c r="AO60" s="16"/>
      <c r="AP60" s="15">
        <v>0</v>
      </c>
      <c r="AQ60" s="15">
        <v>0</v>
      </c>
      <c r="AR60" s="15">
        <v>0</v>
      </c>
      <c r="AS60" s="15">
        <v>0</v>
      </c>
      <c r="AT60" s="15">
        <v>0</v>
      </c>
      <c r="AU60" s="15">
        <v>0</v>
      </c>
      <c r="AV60" s="16"/>
      <c r="AW60" s="16"/>
      <c r="AX60" s="16"/>
      <c r="AY60" s="16"/>
      <c r="AZ60" s="15">
        <v>0</v>
      </c>
      <c r="BA60" s="16"/>
      <c r="BB60" s="15">
        <v>7200</v>
      </c>
      <c r="BC60" s="16"/>
      <c r="BD60" s="16"/>
      <c r="BE60" s="16"/>
      <c r="BF60" s="16"/>
      <c r="BG60" s="15">
        <v>7200</v>
      </c>
      <c r="BH60" s="16"/>
      <c r="BI60" s="15">
        <v>0</v>
      </c>
      <c r="BJ60" s="16"/>
      <c r="BK60" s="15">
        <v>0</v>
      </c>
      <c r="BL60" s="15">
        <v>0</v>
      </c>
      <c r="BM60" s="16"/>
      <c r="BN60" s="16"/>
      <c r="BO60" s="15">
        <v>0</v>
      </c>
      <c r="BP60" s="16"/>
      <c r="BQ60" s="15">
        <v>0</v>
      </c>
      <c r="BR60" s="15">
        <v>7200</v>
      </c>
      <c r="BS60" s="15">
        <v>0</v>
      </c>
      <c r="BT60" s="15">
        <v>0</v>
      </c>
      <c r="BU60" s="16"/>
      <c r="BV60" s="15">
        <v>0</v>
      </c>
      <c r="BW60" s="16"/>
      <c r="BX60" s="16"/>
      <c r="BY60" s="15">
        <v>7200</v>
      </c>
      <c r="BZ60" s="16"/>
      <c r="CA60" s="15">
        <v>7200</v>
      </c>
      <c r="CB60" s="15">
        <v>0</v>
      </c>
      <c r="CC60" s="16"/>
      <c r="CD60" s="16"/>
      <c r="CE60" s="16"/>
      <c r="CF60" s="15">
        <v>0</v>
      </c>
      <c r="CG60" s="16"/>
      <c r="CH60" s="15">
        <v>0</v>
      </c>
      <c r="CI60" s="15">
        <v>0</v>
      </c>
      <c r="CJ60" s="16"/>
      <c r="CK60" s="16"/>
      <c r="CL60" s="16"/>
      <c r="CM60" s="16"/>
      <c r="CN60" s="16"/>
      <c r="CO60" s="16"/>
      <c r="CP60" s="16"/>
      <c r="CQ60" s="15">
        <v>7200</v>
      </c>
      <c r="CR60" s="16"/>
      <c r="CS60" s="16"/>
      <c r="CT60" s="16"/>
      <c r="CU60" s="16"/>
      <c r="CV60" s="15">
        <v>7200</v>
      </c>
      <c r="CW60" s="16"/>
    </row>
    <row r="61" spans="1:101" x14ac:dyDescent="0.75">
      <c r="A61" s="22">
        <v>59</v>
      </c>
      <c r="B61" s="16"/>
      <c r="C61" s="15">
        <v>0</v>
      </c>
      <c r="D61" s="15">
        <v>7200</v>
      </c>
      <c r="E61" s="15">
        <v>0</v>
      </c>
      <c r="F61" s="15">
        <v>0</v>
      </c>
      <c r="G61" s="16"/>
      <c r="H61" s="16"/>
      <c r="I61" s="15">
        <v>7200</v>
      </c>
      <c r="J61" s="15">
        <v>0</v>
      </c>
      <c r="K61" s="16"/>
      <c r="L61" s="16"/>
      <c r="M61" s="16"/>
      <c r="N61" s="16"/>
      <c r="O61" s="15">
        <v>0</v>
      </c>
      <c r="P61" s="16"/>
      <c r="Q61" s="16"/>
      <c r="R61" s="15">
        <v>0</v>
      </c>
      <c r="S61" s="16"/>
      <c r="T61" s="15">
        <v>0</v>
      </c>
      <c r="U61" s="15">
        <v>7200</v>
      </c>
      <c r="V61" s="15">
        <v>0</v>
      </c>
      <c r="W61" s="16"/>
      <c r="X61" s="15">
        <v>0</v>
      </c>
      <c r="Y61" s="15">
        <v>0</v>
      </c>
      <c r="Z61" s="15">
        <v>0</v>
      </c>
      <c r="AA61" s="16"/>
      <c r="AB61" s="15">
        <v>0</v>
      </c>
      <c r="AC61" s="16"/>
      <c r="AD61" s="15">
        <v>0</v>
      </c>
      <c r="AE61" s="16"/>
      <c r="AF61" s="15">
        <v>0</v>
      </c>
      <c r="AG61" s="16"/>
      <c r="AH61" s="15">
        <v>0</v>
      </c>
      <c r="AI61" s="15">
        <v>0</v>
      </c>
      <c r="AJ61" s="16"/>
      <c r="AK61" s="16"/>
      <c r="AL61" s="15">
        <v>0</v>
      </c>
      <c r="AM61" s="16"/>
      <c r="AN61" s="16"/>
      <c r="AO61" s="16"/>
      <c r="AP61" s="15">
        <v>0</v>
      </c>
      <c r="AQ61" s="15">
        <v>0</v>
      </c>
      <c r="AR61" s="15">
        <v>0</v>
      </c>
      <c r="AS61" s="15">
        <v>0</v>
      </c>
      <c r="AT61" s="15">
        <v>0</v>
      </c>
      <c r="AU61" s="15">
        <v>0</v>
      </c>
      <c r="AV61" s="16"/>
      <c r="AW61" s="16"/>
      <c r="AX61" s="16"/>
      <c r="AY61" s="16"/>
      <c r="AZ61" s="15">
        <v>0</v>
      </c>
      <c r="BA61" s="16"/>
      <c r="BB61" s="15">
        <v>7200</v>
      </c>
      <c r="BC61" s="16"/>
      <c r="BD61" s="16"/>
      <c r="BE61" s="16"/>
      <c r="BF61" s="16"/>
      <c r="BG61" s="15">
        <v>7200</v>
      </c>
      <c r="BH61" s="16"/>
      <c r="BI61" s="15">
        <v>0</v>
      </c>
      <c r="BJ61" s="16"/>
      <c r="BK61" s="15">
        <v>0</v>
      </c>
      <c r="BL61" s="16"/>
      <c r="BM61" s="16"/>
      <c r="BN61" s="16"/>
      <c r="BO61" s="15">
        <v>0</v>
      </c>
      <c r="BP61" s="16"/>
      <c r="BQ61" s="15">
        <v>0</v>
      </c>
      <c r="BR61" s="16"/>
      <c r="BS61" s="15">
        <v>0</v>
      </c>
      <c r="BT61" s="15">
        <v>0</v>
      </c>
      <c r="BU61" s="16"/>
      <c r="BV61" s="15">
        <v>0</v>
      </c>
      <c r="BW61" s="16"/>
      <c r="BX61" s="16"/>
      <c r="BY61" s="15">
        <v>7200</v>
      </c>
      <c r="BZ61" s="16"/>
      <c r="CA61" s="15">
        <v>7200</v>
      </c>
      <c r="CB61" s="15">
        <v>0</v>
      </c>
      <c r="CC61" s="16"/>
      <c r="CD61" s="16"/>
      <c r="CE61" s="16"/>
      <c r="CF61" s="15">
        <v>0</v>
      </c>
      <c r="CG61" s="16"/>
      <c r="CH61" s="15">
        <v>0</v>
      </c>
      <c r="CI61" s="15">
        <v>0</v>
      </c>
      <c r="CJ61" s="16"/>
      <c r="CK61" s="16"/>
      <c r="CL61" s="16"/>
      <c r="CM61" s="16"/>
      <c r="CN61" s="16"/>
      <c r="CO61" s="16"/>
      <c r="CP61" s="16"/>
      <c r="CQ61" s="15">
        <v>7200</v>
      </c>
      <c r="CR61" s="16"/>
      <c r="CS61" s="16"/>
      <c r="CT61" s="16"/>
      <c r="CU61" s="16"/>
      <c r="CV61" s="15">
        <v>7200</v>
      </c>
      <c r="CW61" s="16"/>
    </row>
    <row r="62" spans="1:101" x14ac:dyDescent="0.75">
      <c r="A62" s="22">
        <v>60</v>
      </c>
      <c r="B62" s="16"/>
      <c r="C62" s="15">
        <v>0</v>
      </c>
      <c r="D62" s="15">
        <v>7200</v>
      </c>
      <c r="E62" s="15">
        <v>0</v>
      </c>
      <c r="F62" s="16"/>
      <c r="G62" s="16"/>
      <c r="H62" s="16"/>
      <c r="I62" s="15">
        <v>7200</v>
      </c>
      <c r="J62" s="15">
        <v>0</v>
      </c>
      <c r="K62" s="16"/>
      <c r="L62" s="16"/>
      <c r="M62" s="16"/>
      <c r="N62" s="16"/>
      <c r="O62" s="15">
        <v>0</v>
      </c>
      <c r="P62" s="16"/>
      <c r="Q62" s="16"/>
      <c r="R62" s="16"/>
      <c r="S62" s="16"/>
      <c r="T62" s="15">
        <v>0</v>
      </c>
      <c r="U62" s="15">
        <v>7200</v>
      </c>
      <c r="V62" s="15">
        <v>0</v>
      </c>
      <c r="W62" s="16"/>
      <c r="X62" s="15">
        <v>0</v>
      </c>
      <c r="Y62" s="15">
        <v>0</v>
      </c>
      <c r="Z62" s="15">
        <v>0</v>
      </c>
      <c r="AA62" s="16"/>
      <c r="AB62" s="16"/>
      <c r="AC62" s="16"/>
      <c r="AD62" s="15">
        <v>0</v>
      </c>
      <c r="AE62" s="16"/>
      <c r="AF62" s="15">
        <v>0</v>
      </c>
      <c r="AG62" s="16"/>
      <c r="AH62" s="15">
        <v>0</v>
      </c>
      <c r="AI62" s="15">
        <v>0</v>
      </c>
      <c r="AJ62" s="16"/>
      <c r="AK62" s="16"/>
      <c r="AL62" s="15">
        <v>0</v>
      </c>
      <c r="AM62" s="16"/>
      <c r="AN62" s="16"/>
      <c r="AO62" s="16"/>
      <c r="AP62" s="15">
        <v>0</v>
      </c>
      <c r="AQ62" s="15">
        <v>0</v>
      </c>
      <c r="AR62" s="15">
        <v>0</v>
      </c>
      <c r="AS62" s="15">
        <v>0</v>
      </c>
      <c r="AT62" s="15">
        <v>0</v>
      </c>
      <c r="AU62" s="15">
        <v>0</v>
      </c>
      <c r="AV62" s="16"/>
      <c r="AW62" s="16"/>
      <c r="AX62" s="16"/>
      <c r="AY62" s="16"/>
      <c r="AZ62" s="15">
        <v>0</v>
      </c>
      <c r="BA62" s="16"/>
      <c r="BB62" s="15">
        <v>7200</v>
      </c>
      <c r="BC62" s="16"/>
      <c r="BD62" s="16"/>
      <c r="BE62" s="16"/>
      <c r="BF62" s="16"/>
      <c r="BG62" s="15">
        <v>7200</v>
      </c>
      <c r="BH62" s="16"/>
      <c r="BI62" s="15">
        <v>0</v>
      </c>
      <c r="BJ62" s="16"/>
      <c r="BK62" s="15">
        <v>0</v>
      </c>
      <c r="BL62" s="16"/>
      <c r="BM62" s="16"/>
      <c r="BN62" s="16"/>
      <c r="BO62" s="15">
        <v>0</v>
      </c>
      <c r="BP62" s="16"/>
      <c r="BQ62" s="15">
        <v>0</v>
      </c>
      <c r="BR62" s="16"/>
      <c r="BS62" s="15">
        <v>0</v>
      </c>
      <c r="BT62" s="15">
        <v>0</v>
      </c>
      <c r="BU62" s="16"/>
      <c r="BV62" s="15">
        <v>0</v>
      </c>
      <c r="BW62" s="16"/>
      <c r="BX62" s="16"/>
      <c r="BY62" s="15">
        <v>7200</v>
      </c>
      <c r="BZ62" s="16"/>
      <c r="CA62" s="15">
        <v>7200</v>
      </c>
      <c r="CB62" s="15">
        <v>0</v>
      </c>
      <c r="CC62" s="16"/>
      <c r="CD62" s="16"/>
      <c r="CE62" s="16"/>
      <c r="CF62" s="15">
        <v>0</v>
      </c>
      <c r="CG62" s="16"/>
      <c r="CH62" s="15">
        <v>0</v>
      </c>
      <c r="CI62" s="15">
        <v>0</v>
      </c>
      <c r="CJ62" s="16"/>
      <c r="CK62" s="16"/>
      <c r="CL62" s="16"/>
      <c r="CM62" s="16"/>
      <c r="CN62" s="16"/>
      <c r="CO62" s="16"/>
      <c r="CP62" s="16"/>
      <c r="CQ62" s="15">
        <v>7200</v>
      </c>
      <c r="CR62" s="16"/>
      <c r="CS62" s="16"/>
      <c r="CT62" s="16"/>
      <c r="CU62" s="16"/>
      <c r="CV62" s="15">
        <v>7200</v>
      </c>
      <c r="CW62" s="16"/>
    </row>
    <row r="63" spans="1:101" x14ac:dyDescent="0.75">
      <c r="A63" s="22">
        <v>61</v>
      </c>
      <c r="B63" s="16"/>
      <c r="C63" s="15">
        <v>0</v>
      </c>
      <c r="D63" s="15">
        <v>7200</v>
      </c>
      <c r="E63" s="15">
        <v>0</v>
      </c>
      <c r="F63" s="16"/>
      <c r="G63" s="16"/>
      <c r="H63" s="16"/>
      <c r="I63" s="15">
        <v>7200</v>
      </c>
      <c r="J63" s="15">
        <v>0</v>
      </c>
      <c r="K63" s="16"/>
      <c r="L63" s="16"/>
      <c r="M63" s="16"/>
      <c r="N63" s="16"/>
      <c r="O63" s="15">
        <v>0</v>
      </c>
      <c r="P63" s="16"/>
      <c r="Q63" s="16"/>
      <c r="R63" s="16"/>
      <c r="S63" s="16"/>
      <c r="T63" s="15">
        <v>0</v>
      </c>
      <c r="U63" s="15">
        <v>7200</v>
      </c>
      <c r="V63" s="15">
        <v>0</v>
      </c>
      <c r="W63" s="16"/>
      <c r="X63" s="16"/>
      <c r="Y63" s="15">
        <v>0</v>
      </c>
      <c r="Z63" s="15">
        <v>0</v>
      </c>
      <c r="AA63" s="16"/>
      <c r="AB63" s="16"/>
      <c r="AC63" s="16"/>
      <c r="AD63" s="15">
        <v>0</v>
      </c>
      <c r="AE63" s="16"/>
      <c r="AF63" s="15">
        <v>0</v>
      </c>
      <c r="AG63" s="16"/>
      <c r="AH63" s="15">
        <v>0</v>
      </c>
      <c r="AI63" s="15">
        <v>0</v>
      </c>
      <c r="AJ63" s="16"/>
      <c r="AK63" s="16"/>
      <c r="AL63" s="15">
        <v>0</v>
      </c>
      <c r="AM63" s="16"/>
      <c r="AN63" s="16"/>
      <c r="AO63" s="16"/>
      <c r="AP63" s="15">
        <v>0</v>
      </c>
      <c r="AQ63" s="15">
        <v>0</v>
      </c>
      <c r="AR63" s="15">
        <v>0</v>
      </c>
      <c r="AS63" s="15">
        <v>0</v>
      </c>
      <c r="AT63" s="15">
        <v>0</v>
      </c>
      <c r="AU63" s="15">
        <v>0</v>
      </c>
      <c r="AV63" s="16"/>
      <c r="AW63" s="16"/>
      <c r="AX63" s="16"/>
      <c r="AY63" s="16"/>
      <c r="AZ63" s="15">
        <v>0</v>
      </c>
      <c r="BA63" s="16"/>
      <c r="BB63" s="15">
        <v>7200</v>
      </c>
      <c r="BC63" s="16"/>
      <c r="BD63" s="16"/>
      <c r="BE63" s="16"/>
      <c r="BF63" s="16"/>
      <c r="BG63" s="16"/>
      <c r="BH63" s="16"/>
      <c r="BI63" s="15">
        <v>0</v>
      </c>
      <c r="BJ63" s="16"/>
      <c r="BK63" s="15">
        <v>0</v>
      </c>
      <c r="BL63" s="16"/>
      <c r="BM63" s="16"/>
      <c r="BN63" s="16"/>
      <c r="BO63" s="15">
        <v>0</v>
      </c>
      <c r="BP63" s="16"/>
      <c r="BQ63" s="15">
        <v>0</v>
      </c>
      <c r="BR63" s="16"/>
      <c r="BS63" s="15">
        <v>0</v>
      </c>
      <c r="BT63" s="15">
        <v>0</v>
      </c>
      <c r="BU63" s="16"/>
      <c r="BV63" s="16"/>
      <c r="BW63" s="16"/>
      <c r="BX63" s="16"/>
      <c r="BY63" s="15">
        <v>7200</v>
      </c>
      <c r="BZ63" s="16"/>
      <c r="CA63" s="16"/>
      <c r="CB63" s="15">
        <v>0</v>
      </c>
      <c r="CC63" s="16"/>
      <c r="CD63" s="16"/>
      <c r="CE63" s="16"/>
      <c r="CF63" s="15">
        <v>0</v>
      </c>
      <c r="CG63" s="16"/>
      <c r="CH63" s="15">
        <v>0</v>
      </c>
      <c r="CI63" s="15">
        <v>0</v>
      </c>
      <c r="CJ63" s="16"/>
      <c r="CK63" s="16"/>
      <c r="CL63" s="16"/>
      <c r="CM63" s="16"/>
      <c r="CN63" s="16"/>
      <c r="CO63" s="16"/>
      <c r="CP63" s="16"/>
      <c r="CQ63" s="15">
        <v>7200</v>
      </c>
      <c r="CR63" s="16"/>
      <c r="CS63" s="16"/>
      <c r="CT63" s="16"/>
      <c r="CU63" s="16"/>
      <c r="CV63" s="15">
        <v>7200</v>
      </c>
      <c r="CW63" s="16"/>
    </row>
    <row r="64" spans="1:101" x14ac:dyDescent="0.75">
      <c r="A64" s="22">
        <v>62</v>
      </c>
      <c r="B64" s="16"/>
      <c r="C64" s="16"/>
      <c r="D64" s="15">
        <v>7200</v>
      </c>
      <c r="E64" s="15">
        <v>0</v>
      </c>
      <c r="F64" s="16"/>
      <c r="G64" s="16"/>
      <c r="H64" s="16"/>
      <c r="I64" s="15">
        <v>7200</v>
      </c>
      <c r="J64" s="15">
        <v>0</v>
      </c>
      <c r="K64" s="16"/>
      <c r="L64" s="16"/>
      <c r="M64" s="16"/>
      <c r="N64" s="16"/>
      <c r="O64" s="15">
        <v>0</v>
      </c>
      <c r="P64" s="16"/>
      <c r="Q64" s="16"/>
      <c r="R64" s="16"/>
      <c r="S64" s="16"/>
      <c r="T64" s="15">
        <v>0</v>
      </c>
      <c r="U64" s="15">
        <v>7200</v>
      </c>
      <c r="V64" s="16"/>
      <c r="W64" s="16"/>
      <c r="X64" s="16"/>
      <c r="Y64" s="15">
        <v>0</v>
      </c>
      <c r="Z64" s="15">
        <v>0</v>
      </c>
      <c r="AA64" s="16"/>
      <c r="AB64" s="16"/>
      <c r="AC64" s="16"/>
      <c r="AD64" s="15">
        <v>0</v>
      </c>
      <c r="AE64" s="16"/>
      <c r="AF64" s="15">
        <v>0</v>
      </c>
      <c r="AG64" s="16"/>
      <c r="AH64" s="15">
        <v>0</v>
      </c>
      <c r="AI64" s="15">
        <v>0</v>
      </c>
      <c r="AJ64" s="16"/>
      <c r="AK64" s="16"/>
      <c r="AL64" s="15">
        <v>0</v>
      </c>
      <c r="AM64" s="16"/>
      <c r="AN64" s="16"/>
      <c r="AO64" s="16"/>
      <c r="AP64" s="15">
        <v>0</v>
      </c>
      <c r="AQ64" s="15">
        <v>0</v>
      </c>
      <c r="AR64" s="15">
        <v>0</v>
      </c>
      <c r="AS64" s="15">
        <v>0</v>
      </c>
      <c r="AT64" s="16"/>
      <c r="AU64" s="15">
        <v>0</v>
      </c>
      <c r="AV64" s="16"/>
      <c r="AW64" s="16"/>
      <c r="AX64" s="16"/>
      <c r="AY64" s="16"/>
      <c r="AZ64" s="15">
        <v>0</v>
      </c>
      <c r="BA64" s="16"/>
      <c r="BB64" s="15">
        <v>7200</v>
      </c>
      <c r="BC64" s="16"/>
      <c r="BD64" s="16"/>
      <c r="BE64" s="16"/>
      <c r="BF64" s="16"/>
      <c r="BG64" s="16"/>
      <c r="BH64" s="16"/>
      <c r="BI64" s="15">
        <v>0</v>
      </c>
      <c r="BJ64" s="16"/>
      <c r="BK64" s="15">
        <v>0</v>
      </c>
      <c r="BL64" s="16"/>
      <c r="BM64" s="16"/>
      <c r="BN64" s="16"/>
      <c r="BO64" s="15">
        <v>0</v>
      </c>
      <c r="BP64" s="16"/>
      <c r="BQ64" s="15">
        <v>0</v>
      </c>
      <c r="BR64" s="16"/>
      <c r="BS64" s="16"/>
      <c r="BT64" s="15">
        <v>0</v>
      </c>
      <c r="BU64" s="16"/>
      <c r="BV64" s="16"/>
      <c r="BW64" s="16"/>
      <c r="BX64" s="16"/>
      <c r="BY64" s="15">
        <v>7200</v>
      </c>
      <c r="BZ64" s="16"/>
      <c r="CA64" s="16"/>
      <c r="CB64" s="15">
        <v>0</v>
      </c>
      <c r="CC64" s="16"/>
      <c r="CD64" s="16"/>
      <c r="CE64" s="16"/>
      <c r="CF64" s="15">
        <v>0</v>
      </c>
      <c r="CG64" s="16"/>
      <c r="CH64" s="15">
        <v>0</v>
      </c>
      <c r="CI64" s="15">
        <v>0</v>
      </c>
      <c r="CJ64" s="16"/>
      <c r="CK64" s="16"/>
      <c r="CL64" s="16"/>
      <c r="CM64" s="16"/>
      <c r="CN64" s="16"/>
      <c r="CO64" s="16"/>
      <c r="CP64" s="16"/>
      <c r="CQ64" s="15">
        <v>7200</v>
      </c>
      <c r="CR64" s="16"/>
      <c r="CS64" s="16"/>
      <c r="CT64" s="16"/>
      <c r="CU64" s="16"/>
      <c r="CV64" s="15">
        <v>7200</v>
      </c>
      <c r="CW64" s="16"/>
    </row>
    <row r="65" spans="1:101" x14ac:dyDescent="0.75">
      <c r="A65" s="22">
        <v>63</v>
      </c>
      <c r="B65" s="16"/>
      <c r="C65" s="16"/>
      <c r="D65" s="15">
        <v>7200</v>
      </c>
      <c r="E65" s="15">
        <v>0</v>
      </c>
      <c r="F65" s="16"/>
      <c r="G65" s="16"/>
      <c r="H65" s="16"/>
      <c r="I65" s="15">
        <v>7200</v>
      </c>
      <c r="J65" s="15">
        <v>0</v>
      </c>
      <c r="K65" s="16"/>
      <c r="L65" s="16"/>
      <c r="M65" s="16"/>
      <c r="N65" s="16"/>
      <c r="O65" s="15">
        <v>0</v>
      </c>
      <c r="P65" s="16"/>
      <c r="Q65" s="16"/>
      <c r="R65" s="16"/>
      <c r="S65" s="16"/>
      <c r="T65" s="15">
        <v>0</v>
      </c>
      <c r="U65" s="15">
        <v>7200</v>
      </c>
      <c r="V65" s="16"/>
      <c r="W65" s="16"/>
      <c r="X65" s="16"/>
      <c r="Y65" s="15">
        <v>0</v>
      </c>
      <c r="Z65" s="15">
        <v>0</v>
      </c>
      <c r="AA65" s="16"/>
      <c r="AB65" s="16"/>
      <c r="AC65" s="16"/>
      <c r="AD65" s="15">
        <v>0</v>
      </c>
      <c r="AE65" s="16"/>
      <c r="AF65" s="15">
        <v>0</v>
      </c>
      <c r="AG65" s="16"/>
      <c r="AH65" s="15">
        <v>0</v>
      </c>
      <c r="AI65" s="15">
        <v>0</v>
      </c>
      <c r="AJ65" s="16"/>
      <c r="AK65" s="16"/>
      <c r="AL65" s="15">
        <v>0</v>
      </c>
      <c r="AM65" s="16"/>
      <c r="AN65" s="16"/>
      <c r="AO65" s="16"/>
      <c r="AP65" s="15">
        <v>0</v>
      </c>
      <c r="AQ65" s="16"/>
      <c r="AR65" s="15">
        <v>0</v>
      </c>
      <c r="AS65" s="15">
        <v>0</v>
      </c>
      <c r="AT65" s="16"/>
      <c r="AU65" s="16"/>
      <c r="AV65" s="16"/>
      <c r="AW65" s="16"/>
      <c r="AX65" s="16"/>
      <c r="AY65" s="16"/>
      <c r="AZ65" s="15">
        <v>0</v>
      </c>
      <c r="BA65" s="16"/>
      <c r="BB65" s="16"/>
      <c r="BC65" s="16"/>
      <c r="BD65" s="16"/>
      <c r="BE65" s="16"/>
      <c r="BF65" s="16"/>
      <c r="BG65" s="16"/>
      <c r="BH65" s="16"/>
      <c r="BI65" s="15">
        <v>0</v>
      </c>
      <c r="BJ65" s="16"/>
      <c r="BK65" s="15">
        <v>0</v>
      </c>
      <c r="BL65" s="16"/>
      <c r="BM65" s="16"/>
      <c r="BN65" s="16"/>
      <c r="BO65" s="15">
        <v>0</v>
      </c>
      <c r="BP65" s="16"/>
      <c r="BQ65" s="16"/>
      <c r="BR65" s="16"/>
      <c r="BS65" s="16"/>
      <c r="BT65" s="15">
        <v>0</v>
      </c>
      <c r="BU65" s="16"/>
      <c r="BV65" s="16"/>
      <c r="BW65" s="16"/>
      <c r="BX65" s="16"/>
      <c r="BY65" s="15">
        <v>7200</v>
      </c>
      <c r="BZ65" s="16"/>
      <c r="CA65" s="16"/>
      <c r="CB65" s="15">
        <v>0</v>
      </c>
      <c r="CC65" s="16"/>
      <c r="CD65" s="16"/>
      <c r="CE65" s="16"/>
      <c r="CF65" s="15">
        <v>0</v>
      </c>
      <c r="CG65" s="16"/>
      <c r="CH65" s="15">
        <v>0</v>
      </c>
      <c r="CI65" s="15">
        <v>0</v>
      </c>
      <c r="CJ65" s="16"/>
      <c r="CK65" s="16"/>
      <c r="CL65" s="16"/>
      <c r="CM65" s="16"/>
      <c r="CN65" s="16"/>
      <c r="CO65" s="16"/>
      <c r="CP65" s="16"/>
      <c r="CQ65" s="15">
        <v>7200</v>
      </c>
      <c r="CR65" s="16"/>
      <c r="CS65" s="16"/>
      <c r="CT65" s="16"/>
      <c r="CU65" s="16"/>
      <c r="CV65" s="15">
        <v>7200</v>
      </c>
      <c r="CW65" s="16"/>
    </row>
    <row r="66" spans="1:101" x14ac:dyDescent="0.75">
      <c r="A66" s="22">
        <v>64</v>
      </c>
      <c r="B66" s="16"/>
      <c r="C66" s="16"/>
      <c r="D66" s="15">
        <v>7200</v>
      </c>
      <c r="E66" s="15">
        <v>0</v>
      </c>
      <c r="F66" s="16"/>
      <c r="G66" s="16"/>
      <c r="H66" s="16"/>
      <c r="I66" s="16"/>
      <c r="J66" s="15">
        <v>0</v>
      </c>
      <c r="K66" s="16"/>
      <c r="L66" s="16"/>
      <c r="M66" s="16"/>
      <c r="N66" s="16"/>
      <c r="O66" s="15">
        <v>0</v>
      </c>
      <c r="P66" s="16"/>
      <c r="Q66" s="16"/>
      <c r="R66" s="16"/>
      <c r="S66" s="16"/>
      <c r="T66" s="15">
        <v>0</v>
      </c>
      <c r="U66" s="15">
        <v>7200</v>
      </c>
      <c r="V66" s="16"/>
      <c r="W66" s="16"/>
      <c r="X66" s="16"/>
      <c r="Y66" s="15">
        <v>0</v>
      </c>
      <c r="Z66" s="15">
        <v>0</v>
      </c>
      <c r="AA66" s="16"/>
      <c r="AB66" s="16"/>
      <c r="AC66" s="16"/>
      <c r="AD66" s="15">
        <v>0</v>
      </c>
      <c r="AE66" s="16"/>
      <c r="AF66" s="15">
        <v>0</v>
      </c>
      <c r="AG66" s="16"/>
      <c r="AH66" s="15">
        <v>0</v>
      </c>
      <c r="AI66" s="15">
        <v>0</v>
      </c>
      <c r="AJ66" s="16"/>
      <c r="AK66" s="16"/>
      <c r="AL66" s="15">
        <v>0</v>
      </c>
      <c r="AM66" s="16"/>
      <c r="AN66" s="16"/>
      <c r="AO66" s="16"/>
      <c r="AP66" s="15">
        <v>0</v>
      </c>
      <c r="AQ66" s="16"/>
      <c r="AR66" s="15">
        <v>0</v>
      </c>
      <c r="AS66" s="15">
        <v>0</v>
      </c>
      <c r="AT66" s="16"/>
      <c r="AU66" s="16"/>
      <c r="AV66" s="16"/>
      <c r="AW66" s="16"/>
      <c r="AX66" s="16"/>
      <c r="AY66" s="16"/>
      <c r="AZ66" s="15">
        <v>0</v>
      </c>
      <c r="BA66" s="16"/>
      <c r="BB66" s="16"/>
      <c r="BC66" s="16"/>
      <c r="BD66" s="16"/>
      <c r="BE66" s="16"/>
      <c r="BF66" s="16"/>
      <c r="BG66" s="16"/>
      <c r="BH66" s="16"/>
      <c r="BI66" s="15">
        <v>0</v>
      </c>
      <c r="BJ66" s="16"/>
      <c r="BK66" s="15">
        <v>0</v>
      </c>
      <c r="BL66" s="16"/>
      <c r="BM66" s="16"/>
      <c r="BN66" s="16"/>
      <c r="BO66" s="15">
        <v>0</v>
      </c>
      <c r="BP66" s="16"/>
      <c r="BQ66" s="16"/>
      <c r="BR66" s="16"/>
      <c r="BS66" s="16"/>
      <c r="BT66" s="15">
        <v>0</v>
      </c>
      <c r="BU66" s="16"/>
      <c r="BV66" s="16"/>
      <c r="BW66" s="16"/>
      <c r="BX66" s="16"/>
      <c r="BY66" s="15">
        <v>7200</v>
      </c>
      <c r="BZ66" s="16"/>
      <c r="CA66" s="16"/>
      <c r="CB66" s="15">
        <v>0</v>
      </c>
      <c r="CC66" s="16"/>
      <c r="CD66" s="16"/>
      <c r="CE66" s="16"/>
      <c r="CF66" s="15">
        <v>0</v>
      </c>
      <c r="CG66" s="16"/>
      <c r="CH66" s="15">
        <v>0</v>
      </c>
      <c r="CI66" s="15">
        <v>0</v>
      </c>
      <c r="CJ66" s="16"/>
      <c r="CK66" s="16"/>
      <c r="CL66" s="16"/>
      <c r="CM66" s="16"/>
      <c r="CN66" s="16"/>
      <c r="CO66" s="16"/>
      <c r="CP66" s="16"/>
      <c r="CQ66" s="15">
        <v>7200</v>
      </c>
      <c r="CR66" s="16"/>
      <c r="CS66" s="16"/>
      <c r="CT66" s="16"/>
      <c r="CU66" s="16"/>
      <c r="CV66" s="15">
        <v>7200</v>
      </c>
      <c r="CW66" s="16"/>
    </row>
    <row r="67" spans="1:101" x14ac:dyDescent="0.75">
      <c r="A67" s="22">
        <v>65</v>
      </c>
      <c r="B67" s="16"/>
      <c r="C67" s="16"/>
      <c r="D67" s="15">
        <v>7200</v>
      </c>
      <c r="E67" s="15">
        <v>0</v>
      </c>
      <c r="F67" s="16"/>
      <c r="G67" s="16"/>
      <c r="H67" s="16"/>
      <c r="I67" s="16"/>
      <c r="J67" s="15">
        <v>0</v>
      </c>
      <c r="K67" s="16"/>
      <c r="L67" s="16"/>
      <c r="M67" s="16"/>
      <c r="N67" s="16"/>
      <c r="O67" s="15">
        <v>0</v>
      </c>
      <c r="P67" s="16"/>
      <c r="Q67" s="16"/>
      <c r="R67" s="16"/>
      <c r="S67" s="16"/>
      <c r="T67" s="16"/>
      <c r="U67" s="15">
        <v>7200</v>
      </c>
      <c r="V67" s="16"/>
      <c r="W67" s="16"/>
      <c r="X67" s="16"/>
      <c r="Y67" s="15">
        <v>0</v>
      </c>
      <c r="Z67" s="16"/>
      <c r="AA67" s="16"/>
      <c r="AB67" s="16"/>
      <c r="AC67" s="16"/>
      <c r="AD67" s="15">
        <v>0</v>
      </c>
      <c r="AE67" s="16"/>
      <c r="AF67" s="15">
        <v>0</v>
      </c>
      <c r="AG67" s="16"/>
      <c r="AH67" s="15">
        <v>0</v>
      </c>
      <c r="AI67" s="15">
        <v>0</v>
      </c>
      <c r="AJ67" s="16"/>
      <c r="AK67" s="16"/>
      <c r="AL67" s="15">
        <v>0</v>
      </c>
      <c r="AM67" s="16"/>
      <c r="AN67" s="16"/>
      <c r="AO67" s="16"/>
      <c r="AP67" s="15">
        <v>0</v>
      </c>
      <c r="AQ67" s="16"/>
      <c r="AR67" s="15">
        <v>0</v>
      </c>
      <c r="AS67" s="15">
        <v>0</v>
      </c>
      <c r="AT67" s="16"/>
      <c r="AU67" s="16"/>
      <c r="AV67" s="16"/>
      <c r="AW67" s="16"/>
      <c r="AX67" s="16"/>
      <c r="AY67" s="16"/>
      <c r="AZ67" s="15">
        <v>0</v>
      </c>
      <c r="BA67" s="16"/>
      <c r="BB67" s="16"/>
      <c r="BC67" s="16"/>
      <c r="BD67" s="16"/>
      <c r="BE67" s="16"/>
      <c r="BF67" s="16"/>
      <c r="BG67" s="16"/>
      <c r="BH67" s="16"/>
      <c r="BI67" s="15">
        <v>0</v>
      </c>
      <c r="BJ67" s="16"/>
      <c r="BK67" s="15">
        <v>0</v>
      </c>
      <c r="BL67" s="16"/>
      <c r="BM67" s="16"/>
      <c r="BN67" s="16"/>
      <c r="BO67" s="16"/>
      <c r="BP67" s="16"/>
      <c r="BQ67" s="16"/>
      <c r="BR67" s="16"/>
      <c r="BS67" s="16"/>
      <c r="BT67" s="15">
        <v>0</v>
      </c>
      <c r="BU67" s="16"/>
      <c r="BV67" s="16"/>
      <c r="BW67" s="16"/>
      <c r="BX67" s="16"/>
      <c r="BY67" s="15">
        <v>7200</v>
      </c>
      <c r="BZ67" s="16"/>
      <c r="CA67" s="16"/>
      <c r="CB67" s="15">
        <v>0</v>
      </c>
      <c r="CC67" s="16"/>
      <c r="CD67" s="16"/>
      <c r="CE67" s="16"/>
      <c r="CF67" s="16"/>
      <c r="CG67" s="16"/>
      <c r="CH67" s="15">
        <v>0</v>
      </c>
      <c r="CI67" s="15">
        <v>0</v>
      </c>
      <c r="CJ67" s="16"/>
      <c r="CK67" s="16"/>
      <c r="CL67" s="16"/>
      <c r="CM67" s="16"/>
      <c r="CN67" s="16"/>
      <c r="CO67" s="16"/>
      <c r="CP67" s="16"/>
      <c r="CQ67" s="15">
        <v>7200</v>
      </c>
      <c r="CR67" s="16"/>
      <c r="CS67" s="16"/>
      <c r="CT67" s="16"/>
      <c r="CU67" s="16"/>
      <c r="CV67" s="15">
        <v>7200</v>
      </c>
      <c r="CW67" s="16"/>
    </row>
    <row r="68" spans="1:101" x14ac:dyDescent="0.75">
      <c r="A68" s="22">
        <v>66</v>
      </c>
      <c r="B68" s="16"/>
      <c r="C68" s="16"/>
      <c r="D68" s="15">
        <v>7200</v>
      </c>
      <c r="E68" s="15">
        <v>0</v>
      </c>
      <c r="F68" s="16"/>
      <c r="G68" s="16"/>
      <c r="H68" s="16"/>
      <c r="I68" s="16"/>
      <c r="J68" s="16"/>
      <c r="K68" s="16"/>
      <c r="L68" s="16"/>
      <c r="M68" s="16"/>
      <c r="N68" s="16"/>
      <c r="O68" s="15">
        <v>0</v>
      </c>
      <c r="P68" s="16"/>
      <c r="Q68" s="16"/>
      <c r="R68" s="16"/>
      <c r="S68" s="16"/>
      <c r="T68" s="16"/>
      <c r="U68" s="15">
        <v>7200</v>
      </c>
      <c r="V68" s="16"/>
      <c r="W68" s="16"/>
      <c r="X68" s="16"/>
      <c r="Y68" s="15">
        <v>0</v>
      </c>
      <c r="Z68" s="16"/>
      <c r="AA68" s="16"/>
      <c r="AB68" s="16"/>
      <c r="AC68" s="16"/>
      <c r="AD68" s="15">
        <v>0</v>
      </c>
      <c r="AE68" s="16"/>
      <c r="AF68" s="15">
        <v>0</v>
      </c>
      <c r="AG68" s="16"/>
      <c r="AH68" s="15">
        <v>0</v>
      </c>
      <c r="AI68" s="15">
        <v>0</v>
      </c>
      <c r="AJ68" s="16"/>
      <c r="AK68" s="16"/>
      <c r="AL68" s="15">
        <v>0</v>
      </c>
      <c r="AM68" s="16"/>
      <c r="AN68" s="16"/>
      <c r="AO68" s="16"/>
      <c r="AP68" s="15">
        <v>0</v>
      </c>
      <c r="AQ68" s="16"/>
      <c r="AR68" s="15">
        <v>0</v>
      </c>
      <c r="AS68" s="15">
        <v>0</v>
      </c>
      <c r="AT68" s="16"/>
      <c r="AU68" s="16"/>
      <c r="AV68" s="16"/>
      <c r="AW68" s="16"/>
      <c r="AX68" s="16"/>
      <c r="AY68" s="16"/>
      <c r="AZ68" s="15">
        <v>0</v>
      </c>
      <c r="BA68" s="16"/>
      <c r="BB68" s="16"/>
      <c r="BC68" s="16"/>
      <c r="BD68" s="16"/>
      <c r="BE68" s="16"/>
      <c r="BF68" s="16"/>
      <c r="BG68" s="16"/>
      <c r="BH68" s="16"/>
      <c r="BI68" s="15">
        <v>0</v>
      </c>
      <c r="BJ68" s="16"/>
      <c r="BK68" s="15">
        <v>0</v>
      </c>
      <c r="BL68" s="16"/>
      <c r="BM68" s="16"/>
      <c r="BN68" s="16"/>
      <c r="BO68" s="16"/>
      <c r="BP68" s="16"/>
      <c r="BQ68" s="16"/>
      <c r="BR68" s="16"/>
      <c r="BS68" s="16"/>
      <c r="BT68" s="15">
        <v>0</v>
      </c>
      <c r="BU68" s="16"/>
      <c r="BV68" s="16"/>
      <c r="BW68" s="16"/>
      <c r="BX68" s="16"/>
      <c r="BY68" s="15">
        <v>7200</v>
      </c>
      <c r="BZ68" s="16"/>
      <c r="CA68" s="16"/>
      <c r="CB68" s="16"/>
      <c r="CC68" s="16"/>
      <c r="CD68" s="16"/>
      <c r="CE68" s="16"/>
      <c r="CF68" s="16"/>
      <c r="CG68" s="16"/>
      <c r="CH68" s="15">
        <v>0</v>
      </c>
      <c r="CI68" s="15">
        <v>0</v>
      </c>
      <c r="CJ68" s="16"/>
      <c r="CK68" s="16"/>
      <c r="CL68" s="16"/>
      <c r="CM68" s="16"/>
      <c r="CN68" s="16"/>
      <c r="CO68" s="16"/>
      <c r="CP68" s="16"/>
      <c r="CQ68" s="15">
        <v>7200</v>
      </c>
      <c r="CR68" s="16"/>
      <c r="CS68" s="16"/>
      <c r="CT68" s="16"/>
      <c r="CU68" s="16"/>
      <c r="CV68" s="15">
        <v>7200</v>
      </c>
      <c r="CW68" s="16"/>
    </row>
    <row r="69" spans="1:101" x14ac:dyDescent="0.75">
      <c r="A69" s="22">
        <v>67</v>
      </c>
      <c r="B69" s="16"/>
      <c r="C69" s="16"/>
      <c r="D69" s="15">
        <v>7200</v>
      </c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5">
        <v>7200</v>
      </c>
      <c r="V69" s="16"/>
      <c r="W69" s="16"/>
      <c r="X69" s="16"/>
      <c r="Y69" s="15">
        <v>0</v>
      </c>
      <c r="Z69" s="16"/>
      <c r="AA69" s="16"/>
      <c r="AB69" s="16"/>
      <c r="AC69" s="16"/>
      <c r="AD69" s="15">
        <v>0</v>
      </c>
      <c r="AE69" s="16"/>
      <c r="AF69" s="16"/>
      <c r="AG69" s="16"/>
      <c r="AH69" s="15">
        <v>0</v>
      </c>
      <c r="AI69" s="15">
        <v>0</v>
      </c>
      <c r="AJ69" s="16"/>
      <c r="AK69" s="16"/>
      <c r="AL69" s="15">
        <v>0</v>
      </c>
      <c r="AM69" s="16"/>
      <c r="AN69" s="16"/>
      <c r="AO69" s="16"/>
      <c r="AP69" s="15">
        <v>0</v>
      </c>
      <c r="AQ69" s="16"/>
      <c r="AR69" s="15">
        <v>0</v>
      </c>
      <c r="AS69" s="16"/>
      <c r="AT69" s="16"/>
      <c r="AU69" s="16"/>
      <c r="AV69" s="16"/>
      <c r="AW69" s="16"/>
      <c r="AX69" s="16"/>
      <c r="AY69" s="16"/>
      <c r="AZ69" s="15">
        <v>0</v>
      </c>
      <c r="BA69" s="16"/>
      <c r="BB69" s="16"/>
      <c r="BC69" s="16"/>
      <c r="BD69" s="16"/>
      <c r="BE69" s="16"/>
      <c r="BF69" s="16"/>
      <c r="BG69" s="16"/>
      <c r="BH69" s="16"/>
      <c r="BI69" s="15">
        <v>0</v>
      </c>
      <c r="BJ69" s="16"/>
      <c r="BK69" s="15">
        <v>0</v>
      </c>
      <c r="BL69" s="16"/>
      <c r="BM69" s="16"/>
      <c r="BN69" s="16"/>
      <c r="BO69" s="16"/>
      <c r="BP69" s="16"/>
      <c r="BQ69" s="16"/>
      <c r="BR69" s="16"/>
      <c r="BS69" s="16"/>
      <c r="BT69" s="15">
        <v>0</v>
      </c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5">
        <v>0</v>
      </c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5">
        <v>7200</v>
      </c>
      <c r="CW69" s="16"/>
    </row>
    <row r="70" spans="1:101" x14ac:dyDescent="0.75">
      <c r="A70" s="22">
        <v>68</v>
      </c>
      <c r="B70" s="16"/>
      <c r="C70" s="16"/>
      <c r="D70" s="15">
        <v>7200</v>
      </c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5">
        <v>7200</v>
      </c>
      <c r="V70" s="16"/>
      <c r="W70" s="16"/>
      <c r="X70" s="16"/>
      <c r="Y70" s="15">
        <v>0</v>
      </c>
      <c r="Z70" s="16"/>
      <c r="AA70" s="16"/>
      <c r="AB70" s="16"/>
      <c r="AC70" s="16"/>
      <c r="AD70" s="15">
        <v>0</v>
      </c>
      <c r="AE70" s="16"/>
      <c r="AF70" s="16"/>
      <c r="AG70" s="16"/>
      <c r="AH70" s="15">
        <v>0</v>
      </c>
      <c r="AI70" s="16"/>
      <c r="AJ70" s="16"/>
      <c r="AK70" s="16"/>
      <c r="AL70" s="15">
        <v>0</v>
      </c>
      <c r="AM70" s="16"/>
      <c r="AN70" s="16"/>
      <c r="AO70" s="16"/>
      <c r="AP70" s="15">
        <v>0</v>
      </c>
      <c r="AQ70" s="16"/>
      <c r="AR70" s="16"/>
      <c r="AS70" s="16"/>
      <c r="AT70" s="16"/>
      <c r="AU70" s="16"/>
      <c r="AV70" s="16"/>
      <c r="AW70" s="16"/>
      <c r="AX70" s="16"/>
      <c r="AY70" s="16"/>
      <c r="AZ70" s="15">
        <v>0</v>
      </c>
      <c r="BA70" s="16"/>
      <c r="BB70" s="16"/>
      <c r="BC70" s="16"/>
      <c r="BD70" s="16"/>
      <c r="BE70" s="16"/>
      <c r="BF70" s="16"/>
      <c r="BG70" s="16"/>
      <c r="BH70" s="16"/>
      <c r="BI70" s="15">
        <v>0</v>
      </c>
      <c r="BJ70" s="16"/>
      <c r="BK70" s="15">
        <v>0</v>
      </c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5">
        <v>0</v>
      </c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5">
        <v>7200</v>
      </c>
      <c r="CW70" s="16"/>
    </row>
    <row r="71" spans="1:101" x14ac:dyDescent="0.75">
      <c r="A71" s="22">
        <v>69</v>
      </c>
      <c r="B71" s="16"/>
      <c r="C71" s="16"/>
      <c r="D71" s="15">
        <v>7200</v>
      </c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5">
        <v>7200</v>
      </c>
      <c r="V71" s="16"/>
      <c r="W71" s="16"/>
      <c r="X71" s="16"/>
      <c r="Y71" s="15">
        <v>0</v>
      </c>
      <c r="Z71" s="16"/>
      <c r="AA71" s="16"/>
      <c r="AB71" s="16"/>
      <c r="AC71" s="16"/>
      <c r="AD71" s="15">
        <v>0</v>
      </c>
      <c r="AE71" s="16"/>
      <c r="AF71" s="16"/>
      <c r="AG71" s="16"/>
      <c r="AH71" s="15">
        <v>0</v>
      </c>
      <c r="AI71" s="16"/>
      <c r="AJ71" s="16"/>
      <c r="AK71" s="16"/>
      <c r="AL71" s="15">
        <v>0</v>
      </c>
      <c r="AM71" s="16"/>
      <c r="AN71" s="16"/>
      <c r="AO71" s="16"/>
      <c r="AP71" s="15">
        <v>0</v>
      </c>
      <c r="AQ71" s="16"/>
      <c r="AR71" s="16"/>
      <c r="AS71" s="16"/>
      <c r="AT71" s="16"/>
      <c r="AU71" s="16"/>
      <c r="AV71" s="16"/>
      <c r="AW71" s="16"/>
      <c r="AX71" s="16"/>
      <c r="AY71" s="16"/>
      <c r="AZ71" s="15">
        <v>0</v>
      </c>
      <c r="BA71" s="16"/>
      <c r="BB71" s="16"/>
      <c r="BC71" s="16"/>
      <c r="BD71" s="16"/>
      <c r="BE71" s="16"/>
      <c r="BF71" s="16"/>
      <c r="BG71" s="16"/>
      <c r="BH71" s="16"/>
      <c r="BI71" s="15">
        <v>0</v>
      </c>
      <c r="BJ71" s="16"/>
      <c r="BK71" s="15">
        <v>0</v>
      </c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5">
        <v>0</v>
      </c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5">
        <v>7200</v>
      </c>
      <c r="CW71" s="16"/>
    </row>
    <row r="72" spans="1:101" x14ac:dyDescent="0.75">
      <c r="A72" s="22">
        <v>70</v>
      </c>
      <c r="B72" s="16"/>
      <c r="C72" s="16"/>
      <c r="D72" s="15">
        <v>7200</v>
      </c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5">
        <v>7200</v>
      </c>
      <c r="V72" s="16"/>
      <c r="W72" s="16"/>
      <c r="X72" s="16"/>
      <c r="Y72" s="15">
        <v>0</v>
      </c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5">
        <v>0</v>
      </c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5">
        <v>0</v>
      </c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5">
        <v>7200</v>
      </c>
      <c r="CW72" s="16"/>
    </row>
    <row r="73" spans="1:101" x14ac:dyDescent="0.75">
      <c r="A73" s="22">
        <v>71</v>
      </c>
      <c r="B73" s="16"/>
      <c r="C73" s="16"/>
      <c r="D73" s="15">
        <v>7200</v>
      </c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5">
        <v>0</v>
      </c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</row>
    <row r="74" spans="1:101" x14ac:dyDescent="0.75">
      <c r="A74" s="22">
        <v>72</v>
      </c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</row>
    <row r="75" spans="1:101" x14ac:dyDescent="0.75">
      <c r="A75" s="22">
        <v>73</v>
      </c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</row>
    <row r="76" spans="1:101" x14ac:dyDescent="0.75">
      <c r="A76" s="22">
        <v>74</v>
      </c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</row>
    <row r="77" spans="1:101" x14ac:dyDescent="0.75">
      <c r="A77" s="22">
        <v>75</v>
      </c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</row>
    <row r="78" spans="1:101" x14ac:dyDescent="0.75">
      <c r="A78" s="22">
        <v>76</v>
      </c>
      <c r="B78" s="16"/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</row>
    <row r="79" spans="1:101" x14ac:dyDescent="0.75">
      <c r="A79" s="22">
        <v>77</v>
      </c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</row>
    <row r="80" spans="1:101" x14ac:dyDescent="0.75">
      <c r="A80" s="22">
        <v>78</v>
      </c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</row>
    <row r="81" spans="1:101" x14ac:dyDescent="0.75">
      <c r="A81" s="22">
        <v>79</v>
      </c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</row>
    <row r="82" spans="1:101" x14ac:dyDescent="0.75">
      <c r="A82" s="22">
        <v>80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</row>
    <row r="83" spans="1:101" x14ac:dyDescent="0.75">
      <c r="A83" s="22">
        <v>81</v>
      </c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</row>
    <row r="84" spans="1:101" x14ac:dyDescent="0.75">
      <c r="A84" s="22">
        <v>82</v>
      </c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</row>
    <row r="85" spans="1:101" x14ac:dyDescent="0.75">
      <c r="A85" s="22">
        <v>83</v>
      </c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</row>
    <row r="86" spans="1:101" x14ac:dyDescent="0.75">
      <c r="A86" s="22">
        <v>84</v>
      </c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</row>
    <row r="87" spans="1:101" x14ac:dyDescent="0.75">
      <c r="A87" s="22">
        <v>85</v>
      </c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</row>
    <row r="88" spans="1:101" x14ac:dyDescent="0.75">
      <c r="A88" s="22">
        <v>86</v>
      </c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</row>
    <row r="89" spans="1:101" x14ac:dyDescent="0.75">
      <c r="A89" s="22">
        <v>87</v>
      </c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</row>
    <row r="90" spans="1:101" x14ac:dyDescent="0.75">
      <c r="A90" s="22">
        <v>88</v>
      </c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</row>
    <row r="91" spans="1:101" x14ac:dyDescent="0.75">
      <c r="A91" s="22">
        <v>89</v>
      </c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</row>
    <row r="92" spans="1:101" x14ac:dyDescent="0.75">
      <c r="A92" s="22">
        <v>90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</row>
    <row r="93" spans="1:101" x14ac:dyDescent="0.75">
      <c r="A93" s="22">
        <v>91</v>
      </c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</row>
    <row r="94" spans="1:101" x14ac:dyDescent="0.75">
      <c r="A94" s="22">
        <v>92</v>
      </c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</row>
    <row r="95" spans="1:101" x14ac:dyDescent="0.75">
      <c r="A95" s="22">
        <v>93</v>
      </c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</row>
    <row r="96" spans="1:101" x14ac:dyDescent="0.75">
      <c r="A96" s="22">
        <v>94</v>
      </c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</row>
    <row r="97" spans="1:101" x14ac:dyDescent="0.75">
      <c r="A97" s="22">
        <v>95</v>
      </c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</row>
    <row r="98" spans="1:101" x14ac:dyDescent="0.75">
      <c r="A98" s="22">
        <v>96</v>
      </c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</row>
    <row r="99" spans="1:101" x14ac:dyDescent="0.75">
      <c r="A99" s="22">
        <v>97</v>
      </c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</row>
    <row r="100" spans="1:101" x14ac:dyDescent="0.75">
      <c r="A100" s="22">
        <v>98</v>
      </c>
      <c r="B100" s="16"/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</row>
    <row r="101" spans="1:101" x14ac:dyDescent="0.75">
      <c r="A101" s="22">
        <v>99</v>
      </c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</row>
    <row r="102" spans="1:101" x14ac:dyDescent="0.75">
      <c r="A102" s="23">
        <v>100</v>
      </c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</row>
    <row r="103" spans="1:101" x14ac:dyDescent="0.75">
      <c r="A103" s="22" t="s">
        <v>198</v>
      </c>
      <c r="B103" s="24">
        <f>SUM(B3:B102)</f>
        <v>415000</v>
      </c>
      <c r="C103" s="24">
        <f t="shared" ref="C103:BN103" si="0">SUM(C3:C102)</f>
        <v>3180000</v>
      </c>
      <c r="D103" s="24">
        <f t="shared" si="0"/>
        <v>439200</v>
      </c>
      <c r="E103" s="24">
        <f t="shared" si="0"/>
        <v>270000</v>
      </c>
      <c r="F103" s="24">
        <f t="shared" si="0"/>
        <v>1185000</v>
      </c>
      <c r="G103" s="24">
        <f t="shared" si="0"/>
        <v>1185000</v>
      </c>
      <c r="H103" s="24">
        <f t="shared" si="0"/>
        <v>2934000</v>
      </c>
      <c r="I103" s="24">
        <f t="shared" si="0"/>
        <v>367200</v>
      </c>
      <c r="J103" s="24">
        <f t="shared" si="0"/>
        <v>3180000</v>
      </c>
      <c r="K103" s="24">
        <f t="shared" si="0"/>
        <v>440000</v>
      </c>
      <c r="L103" s="24">
        <f t="shared" si="0"/>
        <v>240000</v>
      </c>
      <c r="M103" s="24">
        <f t="shared" si="0"/>
        <v>75000</v>
      </c>
      <c r="N103" s="24">
        <f t="shared" si="0"/>
        <v>75000</v>
      </c>
      <c r="O103" s="24">
        <f t="shared" si="0"/>
        <v>285000</v>
      </c>
      <c r="P103" s="24">
        <f t="shared" si="0"/>
        <v>99999.969999999972</v>
      </c>
      <c r="Q103" s="24">
        <f t="shared" si="0"/>
        <v>150000</v>
      </c>
      <c r="R103" s="24">
        <f t="shared" si="0"/>
        <v>440000</v>
      </c>
      <c r="S103" s="24">
        <f t="shared" si="0"/>
        <v>1185000</v>
      </c>
      <c r="T103" s="24">
        <f t="shared" si="0"/>
        <v>1185000</v>
      </c>
      <c r="U103" s="24">
        <f t="shared" si="0"/>
        <v>504000</v>
      </c>
      <c r="V103" s="24">
        <f t="shared" si="0"/>
        <v>100000</v>
      </c>
      <c r="W103" s="24">
        <f t="shared" si="0"/>
        <v>3180000</v>
      </c>
      <c r="X103" s="24">
        <f t="shared" si="0"/>
        <v>90000</v>
      </c>
      <c r="Y103" s="24">
        <f t="shared" si="0"/>
        <v>371000</v>
      </c>
      <c r="Z103" s="24">
        <f t="shared" si="0"/>
        <v>90000</v>
      </c>
      <c r="AA103" s="24">
        <f t="shared" si="0"/>
        <v>440000</v>
      </c>
      <c r="AB103" s="24">
        <f t="shared" si="0"/>
        <v>180000</v>
      </c>
      <c r="AC103" s="24">
        <f t="shared" si="0"/>
        <v>288000</v>
      </c>
      <c r="AD103" s="24">
        <f t="shared" si="0"/>
        <v>240000</v>
      </c>
      <c r="AE103" s="24">
        <f t="shared" si="0"/>
        <v>120000</v>
      </c>
      <c r="AF103" s="24">
        <f t="shared" si="0"/>
        <v>285000</v>
      </c>
      <c r="AG103" s="24">
        <f t="shared" si="0"/>
        <v>90000</v>
      </c>
      <c r="AH103" s="24">
        <f t="shared" si="0"/>
        <v>285000</v>
      </c>
      <c r="AI103" s="24">
        <f t="shared" si="0"/>
        <v>107000</v>
      </c>
      <c r="AJ103" s="24">
        <f t="shared" si="0"/>
        <v>300000</v>
      </c>
      <c r="AK103" s="24">
        <f t="shared" si="0"/>
        <v>255000</v>
      </c>
      <c r="AL103" s="24">
        <f t="shared" si="0"/>
        <v>1185000</v>
      </c>
      <c r="AM103" s="24">
        <f t="shared" si="0"/>
        <v>1134000</v>
      </c>
      <c r="AN103" s="24">
        <f t="shared" si="0"/>
        <v>280800</v>
      </c>
      <c r="AO103" s="24">
        <f t="shared" si="0"/>
        <v>90000</v>
      </c>
      <c r="AP103" s="24">
        <f t="shared" si="0"/>
        <v>1185000</v>
      </c>
      <c r="AQ103" s="24">
        <f t="shared" si="0"/>
        <v>1185000</v>
      </c>
      <c r="AR103" s="24">
        <f t="shared" si="0"/>
        <v>90000</v>
      </c>
      <c r="AS103" s="24">
        <f t="shared" si="0"/>
        <v>100000</v>
      </c>
      <c r="AT103" s="24">
        <f t="shared" si="0"/>
        <v>3180000</v>
      </c>
      <c r="AU103" s="24">
        <f t="shared" si="0"/>
        <v>180000</v>
      </c>
      <c r="AV103" s="24">
        <f t="shared" si="0"/>
        <v>100000</v>
      </c>
      <c r="AW103" s="24">
        <f t="shared" si="0"/>
        <v>1185000</v>
      </c>
      <c r="AX103" s="24">
        <f t="shared" si="0"/>
        <v>100000.07999999997</v>
      </c>
      <c r="AY103" s="24">
        <f t="shared" si="0"/>
        <v>240000</v>
      </c>
      <c r="AZ103" s="24">
        <f t="shared" si="0"/>
        <v>396000</v>
      </c>
      <c r="BA103" s="24">
        <f t="shared" si="0"/>
        <v>237600</v>
      </c>
      <c r="BB103" s="24">
        <f t="shared" si="0"/>
        <v>439200</v>
      </c>
      <c r="BC103" s="24">
        <f t="shared" si="0"/>
        <v>180000</v>
      </c>
      <c r="BD103" s="24">
        <f t="shared" si="0"/>
        <v>3180000</v>
      </c>
      <c r="BE103" s="24">
        <f t="shared" si="0"/>
        <v>1185000</v>
      </c>
      <c r="BF103" s="24">
        <f t="shared" si="0"/>
        <v>237600</v>
      </c>
      <c r="BG103" s="24">
        <f t="shared" si="0"/>
        <v>338400</v>
      </c>
      <c r="BH103" s="24">
        <f t="shared" si="0"/>
        <v>3180000</v>
      </c>
      <c r="BI103" s="24">
        <f t="shared" si="0"/>
        <v>180000</v>
      </c>
      <c r="BJ103" s="24">
        <f t="shared" si="0"/>
        <v>255000</v>
      </c>
      <c r="BK103" s="24">
        <f t="shared" si="0"/>
        <v>270000</v>
      </c>
      <c r="BL103" s="24">
        <f t="shared" si="0"/>
        <v>3180000</v>
      </c>
      <c r="BM103" s="24">
        <f t="shared" si="0"/>
        <v>1185000</v>
      </c>
      <c r="BN103" s="24">
        <f t="shared" si="0"/>
        <v>300000</v>
      </c>
      <c r="BO103" s="24">
        <f t="shared" ref="BO103:CW103" si="1">SUM(BO3:BO102)</f>
        <v>120000</v>
      </c>
      <c r="BP103" s="24">
        <f t="shared" si="1"/>
        <v>1185000</v>
      </c>
      <c r="BQ103" s="24">
        <f t="shared" si="1"/>
        <v>1185000</v>
      </c>
      <c r="BR103" s="24">
        <f t="shared" si="1"/>
        <v>381600</v>
      </c>
      <c r="BS103" s="24">
        <f t="shared" si="1"/>
        <v>240000</v>
      </c>
      <c r="BT103" s="24">
        <f t="shared" si="1"/>
        <v>150000</v>
      </c>
      <c r="BU103" s="24">
        <f t="shared" si="1"/>
        <v>210000</v>
      </c>
      <c r="BV103" s="24">
        <f t="shared" si="1"/>
        <v>3180000</v>
      </c>
      <c r="BW103" s="24">
        <f t="shared" si="1"/>
        <v>107000</v>
      </c>
      <c r="BX103" s="24">
        <f t="shared" si="1"/>
        <v>338400</v>
      </c>
      <c r="BY103" s="24">
        <f t="shared" si="1"/>
        <v>453600</v>
      </c>
      <c r="BZ103" s="24">
        <f t="shared" si="1"/>
        <v>165000</v>
      </c>
      <c r="CA103" s="24">
        <f t="shared" si="1"/>
        <v>352800</v>
      </c>
      <c r="CB103" s="24">
        <f t="shared" si="1"/>
        <v>1185000</v>
      </c>
      <c r="CC103" s="24">
        <f t="shared" si="1"/>
        <v>324000</v>
      </c>
      <c r="CD103" s="24">
        <f t="shared" si="1"/>
        <v>270000</v>
      </c>
      <c r="CE103" s="24">
        <f t="shared" si="1"/>
        <v>295200</v>
      </c>
      <c r="CF103" s="24">
        <f t="shared" si="1"/>
        <v>151000</v>
      </c>
      <c r="CG103" s="24">
        <f t="shared" si="1"/>
        <v>1185000</v>
      </c>
      <c r="CH103" s="24">
        <f t="shared" si="1"/>
        <v>150000</v>
      </c>
      <c r="CI103" s="24">
        <f t="shared" si="1"/>
        <v>150000</v>
      </c>
      <c r="CJ103" s="24">
        <f t="shared" si="1"/>
        <v>210000</v>
      </c>
      <c r="CK103" s="24">
        <f t="shared" si="1"/>
        <v>90000</v>
      </c>
      <c r="CL103" s="24">
        <f t="shared" si="1"/>
        <v>1050000</v>
      </c>
      <c r="CM103" s="24">
        <f t="shared" si="1"/>
        <v>1079000</v>
      </c>
      <c r="CN103" s="24">
        <f t="shared" si="1"/>
        <v>324000</v>
      </c>
      <c r="CO103" s="24">
        <f t="shared" si="1"/>
        <v>223200</v>
      </c>
      <c r="CP103" s="24">
        <f t="shared" si="1"/>
        <v>270000</v>
      </c>
      <c r="CQ103" s="24">
        <f t="shared" si="1"/>
        <v>374400</v>
      </c>
      <c r="CR103" s="24">
        <f t="shared" si="1"/>
        <v>331200</v>
      </c>
      <c r="CS103" s="24">
        <f t="shared" si="1"/>
        <v>302400</v>
      </c>
      <c r="CT103" s="24">
        <f t="shared" si="1"/>
        <v>180000</v>
      </c>
      <c r="CU103" s="24">
        <f t="shared" si="1"/>
        <v>367200</v>
      </c>
      <c r="CV103" s="24">
        <f t="shared" si="1"/>
        <v>432000</v>
      </c>
      <c r="CW103" s="24">
        <f t="shared" si="1"/>
        <v>295200</v>
      </c>
    </row>
    <row r="104" spans="1:101" s="18" customFormat="1" x14ac:dyDescent="0.75">
      <c r="A104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  <c r="AP104" s="17"/>
      <c r="AQ104" s="17"/>
      <c r="AR104" s="17"/>
      <c r="AS104" s="17"/>
      <c r="AT104" s="17"/>
      <c r="AU104" s="17"/>
      <c r="AV104" s="17"/>
      <c r="AW104" s="17"/>
      <c r="AX104" s="17"/>
      <c r="AY104" s="17"/>
      <c r="AZ104" s="17"/>
      <c r="BA104" s="17"/>
      <c r="BB104" s="17"/>
      <c r="BC104" s="17"/>
      <c r="BD104" s="17"/>
      <c r="BE104" s="17"/>
      <c r="BF104" s="17"/>
      <c r="BG104" s="17"/>
      <c r="BH104" s="17"/>
      <c r="BI104" s="17"/>
      <c r="BJ104" s="17"/>
      <c r="BK104" s="17"/>
      <c r="BL104" s="17"/>
      <c r="BM104" s="17"/>
      <c r="BN104" s="17"/>
      <c r="BO104" s="17"/>
      <c r="BP104" s="17"/>
      <c r="BQ104" s="17"/>
      <c r="BR104" s="17"/>
      <c r="BS104" s="17"/>
      <c r="BT104" s="17"/>
      <c r="BU104" s="17"/>
      <c r="BV104" s="17"/>
      <c r="BW104" s="17"/>
      <c r="BX104" s="17"/>
      <c r="BY104" s="17"/>
      <c r="BZ104" s="17"/>
      <c r="CA104" s="17"/>
      <c r="CB104" s="17"/>
      <c r="CC104" s="17"/>
      <c r="CD104" s="17"/>
      <c r="CE104" s="17"/>
      <c r="CF104" s="17"/>
      <c r="CG104" s="17"/>
      <c r="CH104" s="17"/>
      <c r="CI104" s="17"/>
      <c r="CJ104" s="17"/>
      <c r="CK104" s="17"/>
      <c r="CL104" s="17"/>
      <c r="CM104" s="17"/>
      <c r="CN104" s="17"/>
      <c r="CO104" s="17"/>
      <c r="CP104" s="17"/>
      <c r="CQ104" s="17"/>
      <c r="CR104" s="17"/>
      <c r="CS104" s="17"/>
      <c r="CT104" s="17"/>
      <c r="CU104" s="17"/>
      <c r="CV104" s="17"/>
      <c r="CW104" s="17"/>
    </row>
  </sheetData>
  <mergeCells count="1"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3:M105"/>
  <sheetViews>
    <sheetView workbookViewId="0">
      <selection activeCell="G12" sqref="G12"/>
    </sheetView>
  </sheetViews>
  <sheetFormatPr defaultRowHeight="14.75" x14ac:dyDescent="0.75"/>
  <cols>
    <col min="1" max="1" width="8.7265625" style="19"/>
    <col min="2" max="2" width="7.81640625" style="19" bestFit="1" customWidth="1"/>
    <col min="3" max="3" width="13.6796875" style="19" bestFit="1" customWidth="1"/>
    <col min="4" max="4" width="8.7265625" style="19" customWidth="1"/>
    <col min="5" max="5" width="9.1796875" style="19" bestFit="1" customWidth="1"/>
    <col min="6" max="10" width="11.6796875" style="19" bestFit="1" customWidth="1"/>
    <col min="11" max="11" width="10.6796875" style="19" bestFit="1" customWidth="1"/>
    <col min="12" max="12" width="11.6796875" style="19" bestFit="1" customWidth="1"/>
    <col min="13" max="13" width="13.2265625" style="19" bestFit="1" customWidth="1"/>
    <col min="14" max="16384" width="8.7265625" style="19"/>
  </cols>
  <sheetData>
    <row r="3" spans="2:13" x14ac:dyDescent="0.75">
      <c r="B3" s="34" t="s">
        <v>202</v>
      </c>
      <c r="C3" s="34"/>
      <c r="E3" s="34" t="s">
        <v>203</v>
      </c>
      <c r="F3" s="34"/>
      <c r="G3" s="34"/>
    </row>
    <row r="5" spans="2:13" x14ac:dyDescent="0.75">
      <c r="B5" s="25" t="s">
        <v>96</v>
      </c>
      <c r="C5" s="25" t="s">
        <v>200</v>
      </c>
      <c r="F5" s="44" t="s">
        <v>14</v>
      </c>
      <c r="G5" s="44" t="s">
        <v>15</v>
      </c>
      <c r="H5" s="44" t="s">
        <v>16</v>
      </c>
      <c r="I5" s="44" t="s">
        <v>17</v>
      </c>
      <c r="J5" s="44" t="s">
        <v>7</v>
      </c>
      <c r="K5" s="44" t="s">
        <v>18</v>
      </c>
      <c r="L5" s="44" t="s">
        <v>19</v>
      </c>
      <c r="M5" s="44" t="s">
        <v>198</v>
      </c>
    </row>
    <row r="6" spans="2:13" x14ac:dyDescent="0.75">
      <c r="B6" s="14" t="s">
        <v>14</v>
      </c>
      <c r="C6" s="28">
        <f>SUMIF(All_Payments!$2:$2, B6, All_Payments!$103:$103)</f>
        <v>4110000</v>
      </c>
      <c r="E6" s="43" t="s">
        <v>204</v>
      </c>
      <c r="F6" s="27">
        <f>SUMIF(All_Payments!$2:$2, F$5, All_Payments!3:3)</f>
        <v>15000</v>
      </c>
      <c r="G6" s="27">
        <f>SUMIF(All_Payments!$2:$2, G$5, All_Payments!3:3)</f>
        <v>86000</v>
      </c>
      <c r="H6" s="27">
        <f>SUMIF(All_Payments!$2:$2, H$5, All_Payments!3:3)</f>
        <v>14400</v>
      </c>
      <c r="I6" s="27">
        <f>SUMIF(All_Payments!$2:$2, I$5, All_Payments!3:3)</f>
        <v>64000</v>
      </c>
      <c r="J6" s="27">
        <f>SUMIF(All_Payments!$2:$2, J$5, All_Payments!3:3)</f>
        <v>19000</v>
      </c>
      <c r="K6" s="27">
        <f>SUMIF(All_Payments!$2:$2, K$5, All_Payments!3:3)</f>
        <v>0</v>
      </c>
      <c r="L6" s="27">
        <f>SUMIF(All_Payments!$2:$2, L$5, All_Payments!3:3)</f>
        <v>30000</v>
      </c>
      <c r="M6" s="27">
        <f>SUM(F6:L6)</f>
        <v>228400</v>
      </c>
    </row>
    <row r="7" spans="2:13" x14ac:dyDescent="0.75">
      <c r="B7" s="14" t="s">
        <v>15</v>
      </c>
      <c r="C7" s="28">
        <f>SUMIF(All_Payments!$2:$2, B7, All_Payments!$103:$103)</f>
        <v>19853000</v>
      </c>
      <c r="E7" s="43" t="s">
        <v>205</v>
      </c>
      <c r="F7" s="27">
        <f>SUMIF(All_Payments!$2:$2, F$5, All_Payments!4:4)</f>
        <v>75000</v>
      </c>
      <c r="G7" s="27">
        <f>SUMIF(All_Payments!$2:$2, G$5, All_Payments!4:4)</f>
        <v>89000</v>
      </c>
      <c r="H7" s="27">
        <f>SUMIF(All_Payments!$2:$2, H$5, All_Payments!4:4)</f>
        <v>28800</v>
      </c>
      <c r="I7" s="27">
        <f>SUMIF(All_Payments!$2:$2, I$5, All_Payments!4:4)</f>
        <v>65000</v>
      </c>
      <c r="J7" s="27">
        <f>SUMIF(All_Payments!$2:$2, J$5, All_Payments!4:4)</f>
        <v>19000</v>
      </c>
      <c r="K7" s="27">
        <f>SUMIF(All_Payments!$2:$2, K$5, All_Payments!4:4)</f>
        <v>0</v>
      </c>
      <c r="L7" s="27">
        <f>SUMIF(All_Payments!$2:$2, L$5, All_Payments!4:4)</f>
        <v>60000</v>
      </c>
      <c r="M7" s="27">
        <f t="shared" ref="M7:M70" si="0">SUM(F7:L7)</f>
        <v>336800</v>
      </c>
    </row>
    <row r="8" spans="2:13" x14ac:dyDescent="0.75">
      <c r="B8" s="14" t="s">
        <v>16</v>
      </c>
      <c r="C8" s="28">
        <f>SUMIF(All_Payments!$2:$2, B8, All_Payments!$103:$103)</f>
        <v>7927200</v>
      </c>
      <c r="E8" s="43" t="s">
        <v>206</v>
      </c>
      <c r="F8" s="27">
        <f>SUMIF(All_Payments!$2:$2, F$5, All_Payments!5:5)</f>
        <v>75000</v>
      </c>
      <c r="G8" s="27">
        <f>SUMIF(All_Payments!$2:$2, G$5, All_Payments!5:5)</f>
        <v>117000</v>
      </c>
      <c r="H8" s="27">
        <f>SUMIF(All_Payments!$2:$2, H$5, All_Payments!5:5)</f>
        <v>43200</v>
      </c>
      <c r="I8" s="27">
        <f>SUMIF(All_Payments!$2:$2, I$5, All_Payments!5:5)</f>
        <v>126000</v>
      </c>
      <c r="J8" s="27">
        <f>SUMIF(All_Payments!$2:$2, J$5, All_Payments!5:5)</f>
        <v>19000</v>
      </c>
      <c r="K8" s="27">
        <f>SUMIF(All_Payments!$2:$2, K$5, All_Payments!5:5)</f>
        <v>20000</v>
      </c>
      <c r="L8" s="27">
        <f>SUMIF(All_Payments!$2:$2, L$5, All_Payments!5:5)</f>
        <v>90000</v>
      </c>
      <c r="M8" s="27">
        <f t="shared" si="0"/>
        <v>490200</v>
      </c>
    </row>
    <row r="9" spans="2:13" x14ac:dyDescent="0.75">
      <c r="B9" s="14" t="s">
        <v>17</v>
      </c>
      <c r="C9" s="28">
        <f>SUMIF(All_Payments!$2:$2, B9, All_Payments!$103:$103)</f>
        <v>28374000</v>
      </c>
      <c r="E9" s="43" t="s">
        <v>207</v>
      </c>
      <c r="F9" s="27">
        <f>SUMIF(All_Payments!$2:$2, F$5, All_Payments!6:6)</f>
        <v>105000</v>
      </c>
      <c r="G9" s="27">
        <f>SUMIF(All_Payments!$2:$2, G$5, All_Payments!6:6)</f>
        <v>121000</v>
      </c>
      <c r="H9" s="27">
        <f>SUMIF(All_Payments!$2:$2, H$5, All_Payments!6:6)</f>
        <v>57600</v>
      </c>
      <c r="I9" s="27">
        <f>SUMIF(All_Payments!$2:$2, I$5, All_Payments!6:6)</f>
        <v>128000</v>
      </c>
      <c r="J9" s="27">
        <f>SUMIF(All_Payments!$2:$2, J$5, All_Payments!6:6)</f>
        <v>57000</v>
      </c>
      <c r="K9" s="27">
        <f>SUMIF(All_Payments!$2:$2, K$5, All_Payments!6:6)</f>
        <v>20000</v>
      </c>
      <c r="L9" s="27">
        <f>SUMIF(All_Payments!$2:$2, L$5, All_Payments!6:6)</f>
        <v>90000</v>
      </c>
      <c r="M9" s="27">
        <f t="shared" si="0"/>
        <v>578600</v>
      </c>
    </row>
    <row r="10" spans="2:13" x14ac:dyDescent="0.75">
      <c r="B10" s="14" t="s">
        <v>7</v>
      </c>
      <c r="C10" s="28">
        <f>SUMIF(All_Payments!$2:$2, B10, All_Payments!$103:$103)</f>
        <v>2867000</v>
      </c>
      <c r="E10" s="43" t="s">
        <v>208</v>
      </c>
      <c r="F10" s="27">
        <f>SUMIF(All_Payments!$2:$2, F$5, All_Payments!7:7)</f>
        <v>105000</v>
      </c>
      <c r="G10" s="27">
        <f>SUMIF(All_Payments!$2:$2, G$5, All_Payments!7:7)</f>
        <v>125000</v>
      </c>
      <c r="H10" s="27">
        <f>SUMIF(All_Payments!$2:$2, H$5, All_Payments!7:7)</f>
        <v>64800</v>
      </c>
      <c r="I10" s="27">
        <f>SUMIF(All_Payments!$2:$2, I$5, All_Payments!7:7)</f>
        <v>190000</v>
      </c>
      <c r="J10" s="27">
        <f>SUMIF(All_Payments!$2:$2, J$5, All_Payments!7:7)</f>
        <v>82000</v>
      </c>
      <c r="K10" s="27">
        <f>SUMIF(All_Payments!$2:$2, K$5, All_Payments!7:7)</f>
        <v>20000</v>
      </c>
      <c r="L10" s="27">
        <f>SUMIF(All_Payments!$2:$2, L$5, All_Payments!7:7)</f>
        <v>120000</v>
      </c>
      <c r="M10" s="27">
        <f t="shared" si="0"/>
        <v>706800</v>
      </c>
    </row>
    <row r="11" spans="2:13" x14ac:dyDescent="0.75">
      <c r="B11" s="14" t="s">
        <v>18</v>
      </c>
      <c r="C11" s="28">
        <f>SUMIF(All_Payments!$2:$2, B11, All_Payments!$103:$103)</f>
        <v>500000.04999999993</v>
      </c>
      <c r="E11" s="43" t="s">
        <v>209</v>
      </c>
      <c r="F11" s="27">
        <f>SUMIF(All_Payments!$2:$2, F$5, All_Payments!8:8)</f>
        <v>105000</v>
      </c>
      <c r="G11" s="27">
        <f>SUMIF(All_Payments!$2:$2, G$5, All_Payments!8:8)</f>
        <v>154000</v>
      </c>
      <c r="H11" s="27">
        <f>SUMIF(All_Payments!$2:$2, H$5, All_Payments!8:8)</f>
        <v>72000</v>
      </c>
      <c r="I11" s="27">
        <f>SUMIF(All_Payments!$2:$2, I$5, All_Payments!8:8)</f>
        <v>253000</v>
      </c>
      <c r="J11" s="27">
        <f>SUMIF(All_Payments!$2:$2, J$5, All_Payments!8:8)</f>
        <v>101000</v>
      </c>
      <c r="K11" s="27">
        <f>SUMIF(All_Payments!$2:$2, K$5, All_Payments!8:8)</f>
        <v>20000</v>
      </c>
      <c r="L11" s="27">
        <f>SUMIF(All_Payments!$2:$2, L$5, All_Payments!8:8)</f>
        <v>90000</v>
      </c>
      <c r="M11" s="27">
        <f t="shared" si="0"/>
        <v>795000</v>
      </c>
    </row>
    <row r="12" spans="2:13" x14ac:dyDescent="0.75">
      <c r="B12" s="14" t="s">
        <v>19</v>
      </c>
      <c r="C12" s="28">
        <f>SUMIF(All_Payments!$2:$2, B12, All_Payments!$103:$103)</f>
        <v>2910000</v>
      </c>
      <c r="E12" s="43" t="s">
        <v>210</v>
      </c>
      <c r="F12" s="27">
        <f>SUMIF(All_Payments!$2:$2, F$5, All_Payments!9:9)</f>
        <v>150000</v>
      </c>
      <c r="G12" s="27">
        <f>SUMIF(All_Payments!$2:$2, G$5, All_Payments!9:9)</f>
        <v>159000</v>
      </c>
      <c r="H12" s="27">
        <f>SUMIF(All_Payments!$2:$2, H$5, All_Payments!9:9)</f>
        <v>72000</v>
      </c>
      <c r="I12" s="27">
        <f>SUMIF(All_Payments!$2:$2, I$5, All_Payments!9:9)</f>
        <v>257000</v>
      </c>
      <c r="J12" s="27">
        <f>SUMIF(All_Payments!$2:$2, J$5, All_Payments!9:9)</f>
        <v>101000</v>
      </c>
      <c r="K12" s="27">
        <f>SUMIF(All_Payments!$2:$2, K$5, All_Payments!9:9)</f>
        <v>20000</v>
      </c>
      <c r="L12" s="27">
        <f>SUMIF(All_Payments!$2:$2, L$5, All_Payments!9:9)</f>
        <v>180000</v>
      </c>
      <c r="M12" s="27">
        <f t="shared" si="0"/>
        <v>939000</v>
      </c>
    </row>
    <row r="13" spans="2:13" x14ac:dyDescent="0.75">
      <c r="B13" s="26" t="s">
        <v>201</v>
      </c>
      <c r="C13" s="29">
        <f>SUM(C6:C12)</f>
        <v>66541200.049999997</v>
      </c>
      <c r="E13" s="43" t="s">
        <v>211</v>
      </c>
      <c r="F13" s="27">
        <f>SUMIF(All_Payments!$2:$2, F$5, All_Payments!10:10)</f>
        <v>150000</v>
      </c>
      <c r="G13" s="27">
        <f>SUMIF(All_Payments!$2:$2, G$5, All_Payments!10:10)</f>
        <v>239000</v>
      </c>
      <c r="H13" s="27">
        <f>SUMIF(All_Payments!$2:$2, H$5, All_Payments!10:10)</f>
        <v>79200</v>
      </c>
      <c r="I13" s="27">
        <f>SUMIF(All_Payments!$2:$2, I$5, All_Payments!10:10)</f>
        <v>321000</v>
      </c>
      <c r="J13" s="27">
        <f>SUMIF(All_Payments!$2:$2, J$5, All_Payments!10:10)</f>
        <v>101000</v>
      </c>
      <c r="K13" s="27">
        <f>SUMIF(All_Payments!$2:$2, K$5, All_Payments!10:10)</f>
        <v>5000</v>
      </c>
      <c r="L13" s="27">
        <f>SUMIF(All_Payments!$2:$2, L$5, All_Payments!10:10)</f>
        <v>90000</v>
      </c>
      <c r="M13" s="27">
        <f t="shared" si="0"/>
        <v>985200</v>
      </c>
    </row>
    <row r="14" spans="2:13" x14ac:dyDescent="0.75">
      <c r="E14" s="43" t="s">
        <v>212</v>
      </c>
      <c r="F14" s="27">
        <f>SUMIF(All_Payments!$2:$2, F$5, All_Payments!11:11)</f>
        <v>150000</v>
      </c>
      <c r="G14" s="27">
        <f>SUMIF(All_Payments!$2:$2, G$5, All_Payments!11:11)</f>
        <v>247000</v>
      </c>
      <c r="H14" s="27">
        <f>SUMIF(All_Payments!$2:$2, H$5, All_Payments!11:11)</f>
        <v>79200</v>
      </c>
      <c r="I14" s="27">
        <f>SUMIF(All_Payments!$2:$2, I$5, All_Payments!11:11)</f>
        <v>326000</v>
      </c>
      <c r="J14" s="27">
        <f>SUMIF(All_Payments!$2:$2, J$5, All_Payments!11:11)</f>
        <v>101000</v>
      </c>
      <c r="K14" s="27">
        <f>SUMIF(All_Payments!$2:$2, K$5, All_Payments!11:11)</f>
        <v>10000</v>
      </c>
      <c r="L14" s="27">
        <f>SUMIF(All_Payments!$2:$2, L$5, All_Payments!11:11)</f>
        <v>180000</v>
      </c>
      <c r="M14" s="27">
        <f t="shared" si="0"/>
        <v>1093200</v>
      </c>
    </row>
    <row r="15" spans="2:13" x14ac:dyDescent="0.75">
      <c r="E15" s="43" t="s">
        <v>213</v>
      </c>
      <c r="F15" s="27">
        <f>SUMIF(All_Payments!$2:$2, F$5, All_Payments!12:12)</f>
        <v>195000</v>
      </c>
      <c r="G15" s="27">
        <f>SUMIF(All_Payments!$2:$2, G$5, All_Payments!12:12)</f>
        <v>280000</v>
      </c>
      <c r="H15" s="27">
        <f>SUMIF(All_Payments!$2:$2, H$5, All_Payments!12:12)</f>
        <v>86400</v>
      </c>
      <c r="I15" s="27">
        <f>SUMIF(All_Payments!$2:$2, I$5, All_Payments!12:12)</f>
        <v>391000</v>
      </c>
      <c r="J15" s="27">
        <f>SUMIF(All_Payments!$2:$2, J$5, All_Payments!12:12)</f>
        <v>95000</v>
      </c>
      <c r="K15" s="27">
        <f>SUMIF(All_Payments!$2:$2, K$5, All_Payments!12:12)</f>
        <v>10000</v>
      </c>
      <c r="L15" s="27">
        <f>SUMIF(All_Payments!$2:$2, L$5, All_Payments!12:12)</f>
        <v>120000</v>
      </c>
      <c r="M15" s="27">
        <f t="shared" si="0"/>
        <v>1177400</v>
      </c>
    </row>
    <row r="16" spans="2:13" x14ac:dyDescent="0.75">
      <c r="E16" s="43" t="s">
        <v>214</v>
      </c>
      <c r="F16" s="27">
        <f>SUMIF(All_Payments!$2:$2, F$5, All_Payments!13:13)</f>
        <v>240000</v>
      </c>
      <c r="G16" s="27">
        <f>SUMIF(All_Payments!$2:$2, G$5, All_Payments!13:13)</f>
        <v>289000</v>
      </c>
      <c r="H16" s="27">
        <f>SUMIF(All_Payments!$2:$2, H$5, All_Payments!13:13)</f>
        <v>108000</v>
      </c>
      <c r="I16" s="27">
        <f>SUMIF(All_Payments!$2:$2, I$5, All_Payments!13:13)</f>
        <v>517000</v>
      </c>
      <c r="J16" s="27">
        <f>SUMIF(All_Payments!$2:$2, J$5, All_Payments!13:13)</f>
        <v>95000</v>
      </c>
      <c r="K16" s="27">
        <f>SUMIF(All_Payments!$2:$2, K$5, All_Payments!13:13)</f>
        <v>10000</v>
      </c>
      <c r="L16" s="27">
        <f>SUMIF(All_Payments!$2:$2, L$5, All_Payments!13:13)</f>
        <v>210000</v>
      </c>
      <c r="M16" s="27">
        <f t="shared" si="0"/>
        <v>1469000</v>
      </c>
    </row>
    <row r="17" spans="5:13" x14ac:dyDescent="0.75">
      <c r="E17" s="43" t="s">
        <v>215</v>
      </c>
      <c r="F17" s="27">
        <f>SUMIF(All_Payments!$2:$2, F$5, All_Payments!14:14)</f>
        <v>240000</v>
      </c>
      <c r="G17" s="27">
        <f>SUMIF(All_Payments!$2:$2, G$5, All_Payments!14:14)</f>
        <v>323000</v>
      </c>
      <c r="H17" s="27">
        <f>SUMIF(All_Payments!$2:$2, H$5, All_Payments!14:14)</f>
        <v>115200</v>
      </c>
      <c r="I17" s="27">
        <f>SUMIF(All_Payments!$2:$2, I$5, All_Payments!14:14)</f>
        <v>525000</v>
      </c>
      <c r="J17" s="27">
        <f>SUMIF(All_Payments!$2:$2, J$5, All_Payments!14:14)</f>
        <v>95000</v>
      </c>
      <c r="K17" s="27">
        <f>SUMIF(All_Payments!$2:$2, K$5, All_Payments!14:14)</f>
        <v>10000</v>
      </c>
      <c r="L17" s="27">
        <f>SUMIF(All_Payments!$2:$2, L$5, All_Payments!14:14)</f>
        <v>120000</v>
      </c>
      <c r="M17" s="27">
        <f t="shared" si="0"/>
        <v>1428200</v>
      </c>
    </row>
    <row r="18" spans="5:13" x14ac:dyDescent="0.75">
      <c r="E18" s="43" t="s">
        <v>216</v>
      </c>
      <c r="F18" s="27">
        <f>SUMIF(All_Payments!$2:$2, F$5, All_Payments!15:15)</f>
        <v>225000</v>
      </c>
      <c r="G18" s="27">
        <f>SUMIF(All_Payments!$2:$2, G$5, All_Payments!15:15)</f>
        <v>333000</v>
      </c>
      <c r="H18" s="27">
        <f>SUMIF(All_Payments!$2:$2, H$5, All_Payments!15:15)</f>
        <v>136800</v>
      </c>
      <c r="I18" s="27">
        <f>SUMIF(All_Payments!$2:$2, I$5, All_Payments!15:15)</f>
        <v>533000</v>
      </c>
      <c r="J18" s="27">
        <f>SUMIF(All_Payments!$2:$2, J$5, All_Payments!15:15)</f>
        <v>101000</v>
      </c>
      <c r="K18" s="27">
        <f>SUMIF(All_Payments!$2:$2, K$5, All_Payments!15:15)</f>
        <v>10000</v>
      </c>
      <c r="L18" s="27">
        <f>SUMIF(All_Payments!$2:$2, L$5, All_Payments!15:15)</f>
        <v>150000</v>
      </c>
      <c r="M18" s="27">
        <f t="shared" si="0"/>
        <v>1488800</v>
      </c>
    </row>
    <row r="19" spans="5:13" x14ac:dyDescent="0.75">
      <c r="E19" s="43" t="s">
        <v>217</v>
      </c>
      <c r="F19" s="27">
        <f>SUMIF(All_Payments!$2:$2, F$5, All_Payments!16:16)</f>
        <v>240000</v>
      </c>
      <c r="G19" s="27">
        <f>SUMIF(All_Payments!$2:$2, G$5, All_Payments!16:16)</f>
        <v>368000</v>
      </c>
      <c r="H19" s="27">
        <f>SUMIF(All_Payments!$2:$2, H$5, All_Payments!16:16)</f>
        <v>151200</v>
      </c>
      <c r="I19" s="27">
        <f>SUMIF(All_Payments!$2:$2, I$5, All_Payments!16:16)</f>
        <v>541000</v>
      </c>
      <c r="J19" s="27">
        <f>SUMIF(All_Payments!$2:$2, J$5, All_Payments!16:16)</f>
        <v>145000</v>
      </c>
      <c r="K19" s="27">
        <f>SUMIF(All_Payments!$2:$2, K$5, All_Payments!16:16)</f>
        <v>15555.560000000001</v>
      </c>
      <c r="L19" s="27">
        <f>SUMIF(All_Payments!$2:$2, L$5, All_Payments!16:16)</f>
        <v>90000</v>
      </c>
      <c r="M19" s="27">
        <f t="shared" si="0"/>
        <v>1550755.56</v>
      </c>
    </row>
    <row r="20" spans="5:13" x14ac:dyDescent="0.75">
      <c r="E20" s="43" t="s">
        <v>218</v>
      </c>
      <c r="F20" s="27">
        <f>SUMIF(All_Payments!$2:$2, F$5, All_Payments!17:17)</f>
        <v>240000</v>
      </c>
      <c r="G20" s="27">
        <f>SUMIF(All_Payments!$2:$2, G$5, All_Payments!17:17)</f>
        <v>379000</v>
      </c>
      <c r="H20" s="27">
        <f>SUMIF(All_Payments!$2:$2, H$5, All_Payments!17:17)</f>
        <v>158400</v>
      </c>
      <c r="I20" s="27">
        <f>SUMIF(All_Payments!$2:$2, I$5, All_Payments!17:17)</f>
        <v>609000</v>
      </c>
      <c r="J20" s="27">
        <f>SUMIF(All_Payments!$2:$2, J$5, All_Payments!17:17)</f>
        <v>145000</v>
      </c>
      <c r="K20" s="27">
        <f>SUMIF(All_Payments!$2:$2, K$5, All_Payments!17:17)</f>
        <v>29841.27</v>
      </c>
      <c r="L20" s="27">
        <f>SUMIF(All_Payments!$2:$2, L$5, All_Payments!17:17)</f>
        <v>210000</v>
      </c>
      <c r="M20" s="27">
        <f t="shared" si="0"/>
        <v>1771241.27</v>
      </c>
    </row>
    <row r="21" spans="5:13" x14ac:dyDescent="0.75">
      <c r="E21" s="43" t="s">
        <v>219</v>
      </c>
      <c r="F21" s="27">
        <f>SUMIF(All_Payments!$2:$2, F$5, All_Payments!18:18)</f>
        <v>240000</v>
      </c>
      <c r="G21" s="27">
        <f>SUMIF(All_Payments!$2:$2, G$5, All_Payments!18:18)</f>
        <v>390000</v>
      </c>
      <c r="H21" s="27">
        <f>SUMIF(All_Payments!$2:$2, H$5, All_Payments!18:18)</f>
        <v>165600</v>
      </c>
      <c r="I21" s="27">
        <f>SUMIF(All_Payments!$2:$2, I$5, All_Payments!18:18)</f>
        <v>618000</v>
      </c>
      <c r="J21" s="27">
        <f>SUMIF(All_Payments!$2:$2, J$5, All_Payments!18:18)</f>
        <v>151000</v>
      </c>
      <c r="K21" s="27">
        <f>SUMIF(All_Payments!$2:$2, K$5, All_Payments!18:18)</f>
        <v>29841.27</v>
      </c>
      <c r="L21" s="27">
        <f>SUMIF(All_Payments!$2:$2, L$5, All_Payments!18:18)</f>
        <v>120000</v>
      </c>
      <c r="M21" s="27">
        <f t="shared" si="0"/>
        <v>1714441.27</v>
      </c>
    </row>
    <row r="22" spans="5:13" x14ac:dyDescent="0.75">
      <c r="E22" s="43" t="s">
        <v>220</v>
      </c>
      <c r="F22" s="27">
        <f>SUMIF(All_Payments!$2:$2, F$5, All_Payments!19:19)</f>
        <v>225000</v>
      </c>
      <c r="G22" s="27">
        <f>SUMIF(All_Payments!$2:$2, G$5, All_Payments!19:19)</f>
        <v>451000</v>
      </c>
      <c r="H22" s="27">
        <f>SUMIF(All_Payments!$2:$2, H$5, All_Payments!19:19)</f>
        <v>165600</v>
      </c>
      <c r="I22" s="27">
        <f>SUMIF(All_Payments!$2:$2, I$5, All_Payments!19:19)</f>
        <v>627000</v>
      </c>
      <c r="J22" s="27">
        <f>SUMIF(All_Payments!$2:$2, J$5, All_Payments!19:19)</f>
        <v>157000</v>
      </c>
      <c r="K22" s="27">
        <f>SUMIF(All_Payments!$2:$2, K$5, All_Payments!19:19)</f>
        <v>29841.27</v>
      </c>
      <c r="L22" s="27">
        <f>SUMIF(All_Payments!$2:$2, L$5, All_Payments!19:19)</f>
        <v>180000</v>
      </c>
      <c r="M22" s="27">
        <f t="shared" si="0"/>
        <v>1835441.27</v>
      </c>
    </row>
    <row r="23" spans="5:13" x14ac:dyDescent="0.75">
      <c r="E23" s="43" t="s">
        <v>221</v>
      </c>
      <c r="F23" s="27">
        <f>SUMIF(All_Payments!$2:$2, F$5, All_Payments!20:20)</f>
        <v>210000</v>
      </c>
      <c r="G23" s="27">
        <f>SUMIF(All_Payments!$2:$2, G$5, All_Payments!20:20)</f>
        <v>464000</v>
      </c>
      <c r="H23" s="27">
        <f>SUMIF(All_Payments!$2:$2, H$5, All_Payments!20:20)</f>
        <v>165600</v>
      </c>
      <c r="I23" s="27">
        <f>SUMIF(All_Payments!$2:$2, I$5, All_Payments!20:20)</f>
        <v>636000</v>
      </c>
      <c r="J23" s="27">
        <f>SUMIF(All_Payments!$2:$2, J$5, All_Payments!20:20)</f>
        <v>163000</v>
      </c>
      <c r="K23" s="27">
        <f>SUMIF(All_Payments!$2:$2, K$5, All_Payments!20:20)</f>
        <v>29841.27</v>
      </c>
      <c r="L23" s="27">
        <f>SUMIF(All_Payments!$2:$2, L$5, All_Payments!20:20)</f>
        <v>90000</v>
      </c>
      <c r="M23" s="27">
        <f t="shared" si="0"/>
        <v>1758441.27</v>
      </c>
    </row>
    <row r="24" spans="5:13" x14ac:dyDescent="0.75">
      <c r="E24" s="43" t="s">
        <v>222</v>
      </c>
      <c r="F24" s="27">
        <f>SUMIF(All_Payments!$2:$2, F$5, All_Payments!21:21)</f>
        <v>180000</v>
      </c>
      <c r="G24" s="27">
        <f>SUMIF(All_Payments!$2:$2, G$5, All_Payments!21:21)</f>
        <v>502000</v>
      </c>
      <c r="H24" s="27">
        <f>SUMIF(All_Payments!$2:$2, H$5, All_Payments!21:21)</f>
        <v>165600</v>
      </c>
      <c r="I24" s="27">
        <f>SUMIF(All_Payments!$2:$2, I$5, All_Payments!21:21)</f>
        <v>645000</v>
      </c>
      <c r="J24" s="27">
        <f>SUMIF(All_Payments!$2:$2, J$5, All_Payments!21:21)</f>
        <v>138000</v>
      </c>
      <c r="K24" s="27">
        <f>SUMIF(All_Payments!$2:$2, K$5, All_Payments!21:21)</f>
        <v>29841.27</v>
      </c>
      <c r="L24" s="27">
        <f>SUMIF(All_Payments!$2:$2, L$5, All_Payments!21:21)</f>
        <v>150000</v>
      </c>
      <c r="M24" s="27">
        <f t="shared" si="0"/>
        <v>1810441.27</v>
      </c>
    </row>
    <row r="25" spans="5:13" x14ac:dyDescent="0.75">
      <c r="E25" s="43" t="s">
        <v>223</v>
      </c>
      <c r="F25" s="27">
        <f>SUMIF(All_Payments!$2:$2, F$5, All_Payments!22:22)</f>
        <v>150000</v>
      </c>
      <c r="G25" s="27">
        <f>SUMIF(All_Payments!$2:$2, G$5, All_Payments!22:22)</f>
        <v>541000</v>
      </c>
      <c r="H25" s="27">
        <f>SUMIF(All_Payments!$2:$2, H$5, All_Payments!22:22)</f>
        <v>165600</v>
      </c>
      <c r="I25" s="27">
        <f>SUMIF(All_Payments!$2:$2, I$5, All_Payments!22:22)</f>
        <v>654000</v>
      </c>
      <c r="J25" s="27">
        <f>SUMIF(All_Payments!$2:$2, J$5, All_Payments!22:22)</f>
        <v>144000</v>
      </c>
      <c r="K25" s="27">
        <f>SUMIF(All_Payments!$2:$2, K$5, All_Payments!22:22)</f>
        <v>29841.27</v>
      </c>
      <c r="L25" s="27">
        <f>SUMIF(All_Payments!$2:$2, L$5, All_Payments!22:22)</f>
        <v>90000</v>
      </c>
      <c r="M25" s="27">
        <f t="shared" si="0"/>
        <v>1774441.27</v>
      </c>
    </row>
    <row r="26" spans="5:13" x14ac:dyDescent="0.75">
      <c r="E26" s="43" t="s">
        <v>224</v>
      </c>
      <c r="F26" s="27">
        <f>SUMIF(All_Payments!$2:$2, F$5, All_Payments!23:23)</f>
        <v>135000</v>
      </c>
      <c r="G26" s="27">
        <f>SUMIF(All_Payments!$2:$2, G$5, All_Payments!23:23)</f>
        <v>556000</v>
      </c>
      <c r="H26" s="27">
        <f>SUMIF(All_Payments!$2:$2, H$5, All_Payments!23:23)</f>
        <v>165600</v>
      </c>
      <c r="I26" s="27">
        <f>SUMIF(All_Payments!$2:$2, I$5, All_Payments!23:23)</f>
        <v>663000</v>
      </c>
      <c r="J26" s="27">
        <f>SUMIF(All_Payments!$2:$2, J$5, All_Payments!23:23)</f>
        <v>119000</v>
      </c>
      <c r="K26" s="27">
        <f>SUMIF(All_Payments!$2:$2, K$5, All_Payments!23:23)</f>
        <v>29841.27</v>
      </c>
      <c r="L26" s="27">
        <f>SUMIF(All_Payments!$2:$2, L$5, All_Payments!23:23)</f>
        <v>90000</v>
      </c>
      <c r="M26" s="27">
        <f t="shared" si="0"/>
        <v>1758441.27</v>
      </c>
    </row>
    <row r="27" spans="5:13" x14ac:dyDescent="0.75">
      <c r="E27" s="43" t="s">
        <v>225</v>
      </c>
      <c r="F27" s="27">
        <f>SUMIF(All_Payments!$2:$2, F$5, All_Payments!24:24)</f>
        <v>105000</v>
      </c>
      <c r="G27" s="27">
        <f>SUMIF(All_Payments!$2:$2, G$5, All_Payments!24:24)</f>
        <v>571000</v>
      </c>
      <c r="H27" s="27">
        <f>SUMIF(All_Payments!$2:$2, H$5, All_Payments!24:24)</f>
        <v>165600</v>
      </c>
      <c r="I27" s="27">
        <f>SUMIF(All_Payments!$2:$2, I$5, All_Payments!24:24)</f>
        <v>672000</v>
      </c>
      <c r="J27" s="27">
        <f>SUMIF(All_Payments!$2:$2, J$5, All_Payments!24:24)</f>
        <v>119000</v>
      </c>
      <c r="K27" s="27">
        <f>SUMIF(All_Payments!$2:$2, K$5, All_Payments!24:24)</f>
        <v>15555.560000000001</v>
      </c>
      <c r="L27" s="27">
        <f>SUMIF(All_Payments!$2:$2, L$5, All_Payments!24:24)</f>
        <v>60000</v>
      </c>
      <c r="M27" s="27">
        <f t="shared" si="0"/>
        <v>1708155.56</v>
      </c>
    </row>
    <row r="28" spans="5:13" x14ac:dyDescent="0.75">
      <c r="E28" s="43" t="s">
        <v>226</v>
      </c>
      <c r="F28" s="27">
        <f>SUMIF(All_Payments!$2:$2, F$5, All_Payments!25:25)</f>
        <v>90000</v>
      </c>
      <c r="G28" s="27">
        <f>SUMIF(All_Payments!$2:$2, G$5, All_Payments!25:25)</f>
        <v>586000</v>
      </c>
      <c r="H28" s="27">
        <f>SUMIF(All_Payments!$2:$2, H$5, All_Payments!25:25)</f>
        <v>165600</v>
      </c>
      <c r="I28" s="27">
        <f>SUMIF(All_Payments!$2:$2, I$5, All_Payments!25:25)</f>
        <v>681000</v>
      </c>
      <c r="J28" s="27">
        <f>SUMIF(All_Payments!$2:$2, J$5, All_Payments!25:25)</f>
        <v>125000</v>
      </c>
      <c r="K28" s="27">
        <f>SUMIF(All_Payments!$2:$2, K$5, All_Payments!25:25)</f>
        <v>15555.560000000001</v>
      </c>
      <c r="L28" s="27">
        <f>SUMIF(All_Payments!$2:$2, L$5, All_Payments!25:25)</f>
        <v>90000</v>
      </c>
      <c r="M28" s="27">
        <f t="shared" si="0"/>
        <v>1753155.56</v>
      </c>
    </row>
    <row r="29" spans="5:13" x14ac:dyDescent="0.75">
      <c r="E29" s="43" t="s">
        <v>227</v>
      </c>
      <c r="F29" s="27">
        <f>SUMIF(All_Payments!$2:$2, F$5, All_Payments!26:26)</f>
        <v>90000</v>
      </c>
      <c r="G29" s="27">
        <f>SUMIF(All_Payments!$2:$2, G$5, All_Payments!26:26)</f>
        <v>626000</v>
      </c>
      <c r="H29" s="27">
        <f>SUMIF(All_Payments!$2:$2, H$5, All_Payments!26:26)</f>
        <v>165600</v>
      </c>
      <c r="I29" s="27">
        <f>SUMIF(All_Payments!$2:$2, I$5, All_Payments!26:26)</f>
        <v>690000</v>
      </c>
      <c r="J29" s="27">
        <f>SUMIF(All_Payments!$2:$2, J$5, All_Payments!26:26)</f>
        <v>100000</v>
      </c>
      <c r="K29" s="27">
        <f>SUMIF(All_Payments!$2:$2, K$5, All_Payments!26:26)</f>
        <v>15555.560000000001</v>
      </c>
      <c r="L29" s="27">
        <f>SUMIF(All_Payments!$2:$2, L$5, All_Payments!26:26)</f>
        <v>60000</v>
      </c>
      <c r="M29" s="27">
        <f t="shared" si="0"/>
        <v>1747155.56</v>
      </c>
    </row>
    <row r="30" spans="5:13" x14ac:dyDescent="0.75">
      <c r="E30" s="43" t="s">
        <v>228</v>
      </c>
      <c r="F30" s="27">
        <f>SUMIF(All_Payments!$2:$2, F$5, All_Payments!27:27)</f>
        <v>90000</v>
      </c>
      <c r="G30" s="27">
        <f>SUMIF(All_Payments!$2:$2, G$5, All_Payments!27:27)</f>
        <v>667000</v>
      </c>
      <c r="H30" s="27">
        <f>SUMIF(All_Payments!$2:$2, H$5, All_Payments!27:27)</f>
        <v>165600</v>
      </c>
      <c r="I30" s="27">
        <f>SUMIF(All_Payments!$2:$2, I$5, All_Payments!27:27)</f>
        <v>699000</v>
      </c>
      <c r="J30" s="27">
        <f>SUMIF(All_Payments!$2:$2, J$5, All_Payments!27:27)</f>
        <v>100000</v>
      </c>
      <c r="K30" s="27">
        <f>SUMIF(All_Payments!$2:$2, K$5, All_Payments!27:27)</f>
        <v>15555.560000000001</v>
      </c>
      <c r="L30" s="27">
        <f>SUMIF(All_Payments!$2:$2, L$5, All_Payments!27:27)</f>
        <v>30000</v>
      </c>
      <c r="M30" s="27">
        <f t="shared" si="0"/>
        <v>1767155.56</v>
      </c>
    </row>
    <row r="31" spans="5:13" x14ac:dyDescent="0.75">
      <c r="E31" s="43" t="s">
        <v>229</v>
      </c>
      <c r="F31" s="27">
        <f>SUMIF(All_Payments!$2:$2, F$5, All_Payments!28:28)</f>
        <v>90000</v>
      </c>
      <c r="G31" s="27">
        <f>SUMIF(All_Payments!$2:$2, G$5, All_Payments!28:28)</f>
        <v>629000</v>
      </c>
      <c r="H31" s="27">
        <f>SUMIF(All_Payments!$2:$2, H$5, All_Payments!28:28)</f>
        <v>165600</v>
      </c>
      <c r="I31" s="27">
        <f>SUMIF(All_Payments!$2:$2, I$5, All_Payments!28:28)</f>
        <v>708000</v>
      </c>
      <c r="J31" s="27">
        <f>SUMIF(All_Payments!$2:$2, J$5, All_Payments!28:28)</f>
        <v>75000</v>
      </c>
      <c r="K31" s="27">
        <f>SUMIF(All_Payments!$2:$2, K$5, All_Payments!28:28)</f>
        <v>15555.560000000001</v>
      </c>
      <c r="L31" s="27">
        <f>SUMIF(All_Payments!$2:$2, L$5, All_Payments!28:28)</f>
        <v>30000</v>
      </c>
      <c r="M31" s="27">
        <f t="shared" si="0"/>
        <v>1713155.56</v>
      </c>
    </row>
    <row r="32" spans="5:13" x14ac:dyDescent="0.75">
      <c r="E32" s="43" t="s">
        <v>230</v>
      </c>
      <c r="F32" s="27">
        <f>SUMIF(All_Payments!$2:$2, F$5, All_Payments!29:29)</f>
        <v>45000</v>
      </c>
      <c r="G32" s="27">
        <f>SUMIF(All_Payments!$2:$2, G$5, All_Payments!29:29)</f>
        <v>590000</v>
      </c>
      <c r="H32" s="27">
        <f>SUMIF(All_Payments!$2:$2, H$5, All_Payments!29:29)</f>
        <v>165600</v>
      </c>
      <c r="I32" s="27">
        <f>SUMIF(All_Payments!$2:$2, I$5, All_Payments!29:29)</f>
        <v>717000</v>
      </c>
      <c r="J32" s="27">
        <f>SUMIF(All_Payments!$2:$2, J$5, All_Payments!29:29)</f>
        <v>50000</v>
      </c>
      <c r="K32" s="27">
        <f>SUMIF(All_Payments!$2:$2, K$5, All_Payments!29:29)</f>
        <v>15555.560000000001</v>
      </c>
      <c r="L32" s="27">
        <f>SUMIF(All_Payments!$2:$2, L$5, All_Payments!29:29)</f>
        <v>0</v>
      </c>
      <c r="M32" s="27">
        <f t="shared" si="0"/>
        <v>1583155.56</v>
      </c>
    </row>
    <row r="33" spans="5:13" x14ac:dyDescent="0.75">
      <c r="E33" s="43" t="s">
        <v>231</v>
      </c>
      <c r="F33" s="27">
        <f>SUMIF(All_Payments!$2:$2, F$5, All_Payments!30:30)</f>
        <v>30000</v>
      </c>
      <c r="G33" s="27">
        <f>SUMIF(All_Payments!$2:$2, G$5, All_Payments!30:30)</f>
        <v>605000</v>
      </c>
      <c r="H33" s="27">
        <f>SUMIF(All_Payments!$2:$2, H$5, All_Payments!30:30)</f>
        <v>165600</v>
      </c>
      <c r="I33" s="27">
        <f>SUMIF(All_Payments!$2:$2, I$5, All_Payments!30:30)</f>
        <v>726000</v>
      </c>
      <c r="J33" s="27">
        <f>SUMIF(All_Payments!$2:$2, J$5, All_Payments!30:30)</f>
        <v>50000</v>
      </c>
      <c r="K33" s="27">
        <f>SUMIF(All_Payments!$2:$2, K$5, All_Payments!30:30)</f>
        <v>10555.560000000001</v>
      </c>
      <c r="L33" s="27">
        <f>SUMIF(All_Payments!$2:$2, L$5, All_Payments!30:30)</f>
        <v>30000</v>
      </c>
      <c r="M33" s="27">
        <f t="shared" si="0"/>
        <v>1617155.56</v>
      </c>
    </row>
    <row r="34" spans="5:13" x14ac:dyDescent="0.75">
      <c r="E34" s="43" t="s">
        <v>232</v>
      </c>
      <c r="F34" s="27">
        <f>SUMIF(All_Payments!$2:$2, F$5, All_Payments!31:31)</f>
        <v>30000</v>
      </c>
      <c r="G34" s="27">
        <f>SUMIF(All_Payments!$2:$2, G$5, All_Payments!31:31)</f>
        <v>565000</v>
      </c>
      <c r="H34" s="27">
        <f>SUMIF(All_Payments!$2:$2, H$5, All_Payments!31:31)</f>
        <v>165600</v>
      </c>
      <c r="I34" s="27">
        <f>SUMIF(All_Payments!$2:$2, I$5, All_Payments!31:31)</f>
        <v>735000</v>
      </c>
      <c r="J34" s="27">
        <f>SUMIF(All_Payments!$2:$2, J$5, All_Payments!31:31)</f>
        <v>50000</v>
      </c>
      <c r="K34" s="27">
        <f>SUMIF(All_Payments!$2:$2, K$5, All_Payments!31:31)</f>
        <v>5555.56</v>
      </c>
      <c r="L34" s="27">
        <f>SUMIF(All_Payments!$2:$2, L$5, All_Payments!31:31)</f>
        <v>0</v>
      </c>
      <c r="M34" s="27">
        <f t="shared" si="0"/>
        <v>1551155.56</v>
      </c>
    </row>
    <row r="35" spans="5:13" x14ac:dyDescent="0.75">
      <c r="E35" s="43" t="s">
        <v>233</v>
      </c>
      <c r="F35" s="27">
        <f>SUMIF(All_Payments!$2:$2, F$5, All_Payments!32:32)</f>
        <v>30000</v>
      </c>
      <c r="G35" s="27">
        <f>SUMIF(All_Payments!$2:$2, G$5, All_Payments!32:32)</f>
        <v>579000</v>
      </c>
      <c r="H35" s="27">
        <f>SUMIF(All_Payments!$2:$2, H$5, All_Payments!32:32)</f>
        <v>165600</v>
      </c>
      <c r="I35" s="27">
        <f>SUMIF(All_Payments!$2:$2, I$5, All_Payments!32:32)</f>
        <v>744000</v>
      </c>
      <c r="J35" s="27">
        <f>SUMIF(All_Payments!$2:$2, J$5, All_Payments!32:32)</f>
        <v>25000</v>
      </c>
      <c r="K35" s="27">
        <f>SUMIF(All_Payments!$2:$2, K$5, All_Payments!32:32)</f>
        <v>5555.56</v>
      </c>
      <c r="L35" s="27">
        <f>SUMIF(All_Payments!$2:$2, L$5, All_Payments!32:32)</f>
        <v>30000</v>
      </c>
      <c r="M35" s="27">
        <f t="shared" si="0"/>
        <v>1579155.56</v>
      </c>
    </row>
    <row r="36" spans="5:13" x14ac:dyDescent="0.75">
      <c r="E36" s="43" t="s">
        <v>234</v>
      </c>
      <c r="F36" s="27">
        <f>SUMIF(All_Payments!$2:$2, F$5, All_Payments!33:33)</f>
        <v>30000</v>
      </c>
      <c r="G36" s="27">
        <f>SUMIF(All_Payments!$2:$2, G$5, All_Payments!33:33)</f>
        <v>593000</v>
      </c>
      <c r="H36" s="27">
        <f>SUMIF(All_Payments!$2:$2, H$5, All_Payments!33:33)</f>
        <v>165600</v>
      </c>
      <c r="I36" s="27">
        <f>SUMIF(All_Payments!$2:$2, I$5, All_Payments!33:33)</f>
        <v>753000</v>
      </c>
      <c r="J36" s="27">
        <f>SUMIF(All_Payments!$2:$2, J$5, All_Payments!33:33)</f>
        <v>25000</v>
      </c>
      <c r="K36" s="27">
        <f>SUMIF(All_Payments!$2:$2, K$5, All_Payments!33:33)</f>
        <v>5555.56</v>
      </c>
      <c r="L36" s="27">
        <f>SUMIF(All_Payments!$2:$2, L$5, All_Payments!33:33)</f>
        <v>0</v>
      </c>
      <c r="M36" s="27">
        <f t="shared" si="0"/>
        <v>1572155.56</v>
      </c>
    </row>
    <row r="37" spans="5:13" x14ac:dyDescent="0.75">
      <c r="E37" s="43" t="s">
        <v>235</v>
      </c>
      <c r="F37" s="27">
        <f>SUMIF(All_Payments!$2:$2, F$5, All_Payments!34:34)</f>
        <v>30000</v>
      </c>
      <c r="G37" s="27">
        <f>SUMIF(All_Payments!$2:$2, G$5, All_Payments!34:34)</f>
        <v>607000</v>
      </c>
      <c r="H37" s="27">
        <f>SUMIF(All_Payments!$2:$2, H$5, All_Payments!34:34)</f>
        <v>165600</v>
      </c>
      <c r="I37" s="27">
        <f>SUMIF(All_Payments!$2:$2, I$5, All_Payments!34:34)</f>
        <v>762000</v>
      </c>
      <c r="J37" s="27">
        <f>SUMIF(All_Payments!$2:$2, J$5, All_Payments!34:34)</f>
        <v>0</v>
      </c>
      <c r="K37" s="27">
        <f>SUMIF(All_Payments!$2:$2, K$5, All_Payments!34:34)</f>
        <v>0</v>
      </c>
      <c r="L37" s="27">
        <f>SUMIF(All_Payments!$2:$2, L$5, All_Payments!34:34)</f>
        <v>30000</v>
      </c>
      <c r="M37" s="27">
        <f t="shared" si="0"/>
        <v>1594600</v>
      </c>
    </row>
    <row r="38" spans="5:13" x14ac:dyDescent="0.75">
      <c r="E38" s="43" t="s">
        <v>236</v>
      </c>
      <c r="F38" s="27">
        <f>SUMIF(All_Payments!$2:$2, F$5, All_Payments!35:35)</f>
        <v>0</v>
      </c>
      <c r="G38" s="27">
        <f>SUMIF(All_Payments!$2:$2, G$5, All_Payments!35:35)</f>
        <v>566000</v>
      </c>
      <c r="H38" s="27">
        <f>SUMIF(All_Payments!$2:$2, H$5, All_Payments!35:35)</f>
        <v>165600</v>
      </c>
      <c r="I38" s="27">
        <f>SUMIF(All_Payments!$2:$2, I$5, All_Payments!35:35)</f>
        <v>771000</v>
      </c>
      <c r="J38" s="27">
        <f>SUMIF(All_Payments!$2:$2, J$5, All_Payments!35:35)</f>
        <v>0</v>
      </c>
      <c r="K38" s="27">
        <f>SUMIF(All_Payments!$2:$2, K$5, All_Payments!35:35)</f>
        <v>0</v>
      </c>
      <c r="L38" s="27">
        <f>SUMIF(All_Payments!$2:$2, L$5, All_Payments!35:35)</f>
        <v>0</v>
      </c>
      <c r="M38" s="27">
        <f t="shared" si="0"/>
        <v>1502600</v>
      </c>
    </row>
    <row r="39" spans="5:13" x14ac:dyDescent="0.75">
      <c r="E39" s="43" t="s">
        <v>237</v>
      </c>
      <c r="F39" s="27">
        <f>SUMIF(All_Payments!$2:$2, F$5, All_Payments!36:36)</f>
        <v>0</v>
      </c>
      <c r="G39" s="27">
        <f>SUMIF(All_Payments!$2:$2, G$5, All_Payments!36:36)</f>
        <v>579000</v>
      </c>
      <c r="H39" s="27">
        <f>SUMIF(All_Payments!$2:$2, H$5, All_Payments!36:36)</f>
        <v>165600</v>
      </c>
      <c r="I39" s="27">
        <f>SUMIF(All_Payments!$2:$2, I$5, All_Payments!36:36)</f>
        <v>780000</v>
      </c>
      <c r="J39" s="27">
        <f>SUMIF(All_Payments!$2:$2, J$5, All_Payments!36:36)</f>
        <v>0</v>
      </c>
      <c r="K39" s="27">
        <f>SUMIF(All_Payments!$2:$2, K$5, All_Payments!36:36)</f>
        <v>0</v>
      </c>
      <c r="L39" s="27">
        <f>SUMIF(All_Payments!$2:$2, L$5, All_Payments!36:36)</f>
        <v>0</v>
      </c>
      <c r="M39" s="27">
        <f t="shared" si="0"/>
        <v>1524600</v>
      </c>
    </row>
    <row r="40" spans="5:13" x14ac:dyDescent="0.75">
      <c r="E40" s="43" t="s">
        <v>238</v>
      </c>
      <c r="F40" s="27">
        <f>SUMIF(All_Payments!$2:$2, F$5, All_Payments!37:37)</f>
        <v>0</v>
      </c>
      <c r="G40" s="27">
        <f>SUMIF(All_Payments!$2:$2, G$5, All_Payments!37:37)</f>
        <v>592000</v>
      </c>
      <c r="H40" s="27">
        <f>SUMIF(All_Payments!$2:$2, H$5, All_Payments!37:37)</f>
        <v>165600</v>
      </c>
      <c r="I40" s="27">
        <f>SUMIF(All_Payments!$2:$2, I$5, All_Payments!37:37)</f>
        <v>789000</v>
      </c>
      <c r="J40" s="27">
        <f>SUMIF(All_Payments!$2:$2, J$5, All_Payments!37:37)</f>
        <v>0</v>
      </c>
      <c r="K40" s="27">
        <f>SUMIF(All_Payments!$2:$2, K$5, All_Payments!37:37)</f>
        <v>0</v>
      </c>
      <c r="L40" s="27">
        <f>SUMIF(All_Payments!$2:$2, L$5, All_Payments!37:37)</f>
        <v>0</v>
      </c>
      <c r="M40" s="27">
        <f t="shared" si="0"/>
        <v>1546600</v>
      </c>
    </row>
    <row r="41" spans="5:13" x14ac:dyDescent="0.75">
      <c r="E41" s="43" t="s">
        <v>239</v>
      </c>
      <c r="F41" s="27">
        <f>SUMIF(All_Payments!$2:$2, F$5, All_Payments!38:38)</f>
        <v>0</v>
      </c>
      <c r="G41" s="27">
        <f>SUMIF(All_Payments!$2:$2, G$5, All_Payments!38:38)</f>
        <v>550000</v>
      </c>
      <c r="H41" s="27">
        <f>SUMIF(All_Payments!$2:$2, H$5, All_Payments!38:38)</f>
        <v>165600</v>
      </c>
      <c r="I41" s="27">
        <f>SUMIF(All_Payments!$2:$2, I$5, All_Payments!38:38)</f>
        <v>798000</v>
      </c>
      <c r="J41" s="27">
        <f>SUMIF(All_Payments!$2:$2, J$5, All_Payments!38:38)</f>
        <v>0</v>
      </c>
      <c r="K41" s="27">
        <f>SUMIF(All_Payments!$2:$2, K$5, All_Payments!38:38)</f>
        <v>0</v>
      </c>
      <c r="L41" s="27">
        <f>SUMIF(All_Payments!$2:$2, L$5, All_Payments!38:38)</f>
        <v>0</v>
      </c>
      <c r="M41" s="27">
        <f t="shared" si="0"/>
        <v>1513600</v>
      </c>
    </row>
    <row r="42" spans="5:13" x14ac:dyDescent="0.75">
      <c r="E42" s="43" t="s">
        <v>240</v>
      </c>
      <c r="F42" s="27">
        <f>SUMIF(All_Payments!$2:$2, F$5, All_Payments!39:39)</f>
        <v>0</v>
      </c>
      <c r="G42" s="27">
        <f>SUMIF(All_Payments!$2:$2, G$5, All_Payments!39:39)</f>
        <v>562000</v>
      </c>
      <c r="H42" s="27">
        <f>SUMIF(All_Payments!$2:$2, H$5, All_Payments!39:39)</f>
        <v>165600</v>
      </c>
      <c r="I42" s="27">
        <f>SUMIF(All_Payments!$2:$2, I$5, All_Payments!39:39)</f>
        <v>707000</v>
      </c>
      <c r="J42" s="27">
        <f>SUMIF(All_Payments!$2:$2, J$5, All_Payments!39:39)</f>
        <v>0</v>
      </c>
      <c r="K42" s="27">
        <f>SUMIF(All_Payments!$2:$2, K$5, All_Payments!39:39)</f>
        <v>0</v>
      </c>
      <c r="L42" s="27">
        <f>SUMIF(All_Payments!$2:$2, L$5, All_Payments!39:39)</f>
        <v>0</v>
      </c>
      <c r="M42" s="27">
        <f t="shared" si="0"/>
        <v>1434600</v>
      </c>
    </row>
    <row r="43" spans="5:13" x14ac:dyDescent="0.75">
      <c r="E43" s="43" t="s">
        <v>241</v>
      </c>
      <c r="F43" s="27">
        <f>SUMIF(All_Payments!$2:$2, F$5, All_Payments!40:40)</f>
        <v>0</v>
      </c>
      <c r="G43" s="27">
        <f>SUMIF(All_Payments!$2:$2, G$5, All_Payments!40:40)</f>
        <v>409000</v>
      </c>
      <c r="H43" s="27">
        <f>SUMIF(All_Payments!$2:$2, H$5, All_Payments!40:40)</f>
        <v>165600</v>
      </c>
      <c r="I43" s="27">
        <f>SUMIF(All_Payments!$2:$2, I$5, All_Payments!40:40)</f>
        <v>715000</v>
      </c>
      <c r="J43" s="27">
        <f>SUMIF(All_Payments!$2:$2, J$5, All_Payments!40:40)</f>
        <v>0</v>
      </c>
      <c r="K43" s="27">
        <f>SUMIF(All_Payments!$2:$2, K$5, All_Payments!40:40)</f>
        <v>0</v>
      </c>
      <c r="L43" s="27">
        <f>SUMIF(All_Payments!$2:$2, L$5, All_Payments!40:40)</f>
        <v>0</v>
      </c>
      <c r="M43" s="27">
        <f t="shared" si="0"/>
        <v>1289600</v>
      </c>
    </row>
    <row r="44" spans="5:13" x14ac:dyDescent="0.75">
      <c r="E44" s="43" t="s">
        <v>242</v>
      </c>
      <c r="F44" s="27">
        <f>SUMIF(All_Payments!$2:$2, F$5, All_Payments!41:41)</f>
        <v>0</v>
      </c>
      <c r="G44" s="27">
        <f>SUMIF(All_Payments!$2:$2, G$5, All_Payments!41:41)</f>
        <v>418000</v>
      </c>
      <c r="H44" s="27">
        <f>SUMIF(All_Payments!$2:$2, H$5, All_Payments!41:41)</f>
        <v>165600</v>
      </c>
      <c r="I44" s="27">
        <f>SUMIF(All_Payments!$2:$2, I$5, All_Payments!41:41)</f>
        <v>723000</v>
      </c>
      <c r="J44" s="27">
        <f>SUMIF(All_Payments!$2:$2, J$5, All_Payments!41:41)</f>
        <v>0</v>
      </c>
      <c r="K44" s="27">
        <f>SUMIF(All_Payments!$2:$2, K$5, All_Payments!41:41)</f>
        <v>0</v>
      </c>
      <c r="L44" s="27">
        <f>SUMIF(All_Payments!$2:$2, L$5, All_Payments!41:41)</f>
        <v>0</v>
      </c>
      <c r="M44" s="27">
        <f t="shared" si="0"/>
        <v>1306600</v>
      </c>
    </row>
    <row r="45" spans="5:13" x14ac:dyDescent="0.75">
      <c r="E45" s="43" t="s">
        <v>243</v>
      </c>
      <c r="F45" s="27">
        <f>SUMIF(All_Payments!$2:$2, F$5, All_Payments!42:42)</f>
        <v>0</v>
      </c>
      <c r="G45" s="27">
        <f>SUMIF(All_Payments!$2:$2, G$5, All_Payments!42:42)</f>
        <v>372000</v>
      </c>
      <c r="H45" s="27">
        <f>SUMIF(All_Payments!$2:$2, H$5, All_Payments!42:42)</f>
        <v>165600</v>
      </c>
      <c r="I45" s="27">
        <f>SUMIF(All_Payments!$2:$2, I$5, All_Payments!42:42)</f>
        <v>731000</v>
      </c>
      <c r="J45" s="27">
        <f>SUMIF(All_Payments!$2:$2, J$5, All_Payments!42:42)</f>
        <v>0</v>
      </c>
      <c r="K45" s="27">
        <f>SUMIF(All_Payments!$2:$2, K$5, All_Payments!42:42)</f>
        <v>0</v>
      </c>
      <c r="L45" s="27">
        <f>SUMIF(All_Payments!$2:$2, L$5, All_Payments!42:42)</f>
        <v>0</v>
      </c>
      <c r="M45" s="27">
        <f t="shared" si="0"/>
        <v>1268600</v>
      </c>
    </row>
    <row r="46" spans="5:13" x14ac:dyDescent="0.75">
      <c r="E46" s="43" t="s">
        <v>244</v>
      </c>
      <c r="F46" s="27">
        <f>SUMIF(All_Payments!$2:$2, F$5, All_Payments!43:43)</f>
        <v>0</v>
      </c>
      <c r="G46" s="27">
        <f>SUMIF(All_Payments!$2:$2, G$5, All_Payments!43:43)</f>
        <v>380000</v>
      </c>
      <c r="H46" s="27">
        <f>SUMIF(All_Payments!$2:$2, H$5, All_Payments!43:43)</f>
        <v>165600</v>
      </c>
      <c r="I46" s="27">
        <f>SUMIF(All_Payments!$2:$2, I$5, All_Payments!43:43)</f>
        <v>739000</v>
      </c>
      <c r="J46" s="27">
        <f>SUMIF(All_Payments!$2:$2, J$5, All_Payments!43:43)</f>
        <v>0</v>
      </c>
      <c r="K46" s="27">
        <f>SUMIF(All_Payments!$2:$2, K$5, All_Payments!43:43)</f>
        <v>0</v>
      </c>
      <c r="L46" s="27">
        <f>SUMIF(All_Payments!$2:$2, L$5, All_Payments!43:43)</f>
        <v>0</v>
      </c>
      <c r="M46" s="27">
        <f t="shared" si="0"/>
        <v>1284600</v>
      </c>
    </row>
    <row r="47" spans="5:13" x14ac:dyDescent="0.75">
      <c r="E47" s="43" t="s">
        <v>245</v>
      </c>
      <c r="F47" s="27">
        <f>SUMIF(All_Payments!$2:$2, F$5, All_Payments!44:44)</f>
        <v>0</v>
      </c>
      <c r="G47" s="27">
        <f>SUMIF(All_Payments!$2:$2, G$5, All_Payments!44:44)</f>
        <v>333000</v>
      </c>
      <c r="H47" s="27">
        <f>SUMIF(All_Payments!$2:$2, H$5, All_Payments!44:44)</f>
        <v>158400</v>
      </c>
      <c r="I47" s="27">
        <f>SUMIF(All_Payments!$2:$2, I$5, All_Payments!44:44)</f>
        <v>747000</v>
      </c>
      <c r="J47" s="27">
        <f>SUMIF(All_Payments!$2:$2, J$5, All_Payments!44:44)</f>
        <v>0</v>
      </c>
      <c r="K47" s="27">
        <f>SUMIF(All_Payments!$2:$2, K$5, All_Payments!44:44)</f>
        <v>0</v>
      </c>
      <c r="L47" s="27">
        <f>SUMIF(All_Payments!$2:$2, L$5, All_Payments!44:44)</f>
        <v>0</v>
      </c>
      <c r="M47" s="27">
        <f t="shared" si="0"/>
        <v>1238400</v>
      </c>
    </row>
    <row r="48" spans="5:13" x14ac:dyDescent="0.75">
      <c r="E48" s="43" t="s">
        <v>246</v>
      </c>
      <c r="F48" s="27">
        <f>SUMIF(All_Payments!$2:$2, F$5, All_Payments!45:45)</f>
        <v>0</v>
      </c>
      <c r="G48" s="27">
        <f>SUMIF(All_Payments!$2:$2, G$5, All_Payments!45:45)</f>
        <v>340000</v>
      </c>
      <c r="H48" s="27">
        <f>SUMIF(All_Payments!$2:$2, H$5, All_Payments!45:45)</f>
        <v>158400</v>
      </c>
      <c r="I48" s="27">
        <f>SUMIF(All_Payments!$2:$2, I$5, All_Payments!45:45)</f>
        <v>655000</v>
      </c>
      <c r="J48" s="27">
        <f>SUMIF(All_Payments!$2:$2, J$5, All_Payments!45:45)</f>
        <v>0</v>
      </c>
      <c r="K48" s="27">
        <f>SUMIF(All_Payments!$2:$2, K$5, All_Payments!45:45)</f>
        <v>0</v>
      </c>
      <c r="L48" s="27">
        <f>SUMIF(All_Payments!$2:$2, L$5, All_Payments!45:45)</f>
        <v>0</v>
      </c>
      <c r="M48" s="27">
        <f t="shared" si="0"/>
        <v>1153400</v>
      </c>
    </row>
    <row r="49" spans="5:13" x14ac:dyDescent="0.75">
      <c r="E49" s="43" t="s">
        <v>247</v>
      </c>
      <c r="F49" s="27">
        <f>SUMIF(All_Payments!$2:$2, F$5, All_Payments!46:46)</f>
        <v>0</v>
      </c>
      <c r="G49" s="27">
        <f>SUMIF(All_Payments!$2:$2, G$5, All_Payments!46:46)</f>
        <v>292000</v>
      </c>
      <c r="H49" s="27">
        <f>SUMIF(All_Payments!$2:$2, H$5, All_Payments!46:46)</f>
        <v>144000</v>
      </c>
      <c r="I49" s="27">
        <f>SUMIF(All_Payments!$2:$2, I$5, All_Payments!46:46)</f>
        <v>662000</v>
      </c>
      <c r="J49" s="27">
        <f>SUMIF(All_Payments!$2:$2, J$5, All_Payments!46:46)</f>
        <v>0</v>
      </c>
      <c r="K49" s="27">
        <f>SUMIF(All_Payments!$2:$2, K$5, All_Payments!46:46)</f>
        <v>0</v>
      </c>
      <c r="L49" s="27">
        <f>SUMIF(All_Payments!$2:$2, L$5, All_Payments!46:46)</f>
        <v>0</v>
      </c>
      <c r="M49" s="27">
        <f t="shared" si="0"/>
        <v>1098000</v>
      </c>
    </row>
    <row r="50" spans="5:13" x14ac:dyDescent="0.75">
      <c r="E50" s="43" t="s">
        <v>248</v>
      </c>
      <c r="F50" s="27">
        <f>SUMIF(All_Payments!$2:$2, F$5, All_Payments!47:47)</f>
        <v>0</v>
      </c>
      <c r="G50" s="27">
        <f>SUMIF(All_Payments!$2:$2, G$5, All_Payments!47:47)</f>
        <v>298000</v>
      </c>
      <c r="H50" s="27">
        <f>SUMIF(All_Payments!$2:$2, H$5, All_Payments!47:47)</f>
        <v>136800</v>
      </c>
      <c r="I50" s="27">
        <f>SUMIF(All_Payments!$2:$2, I$5, All_Payments!47:47)</f>
        <v>569000</v>
      </c>
      <c r="J50" s="27">
        <f>SUMIF(All_Payments!$2:$2, J$5, All_Payments!47:47)</f>
        <v>0</v>
      </c>
      <c r="K50" s="27">
        <f>SUMIF(All_Payments!$2:$2, K$5, All_Payments!47:47)</f>
        <v>0</v>
      </c>
      <c r="L50" s="27">
        <f>SUMIF(All_Payments!$2:$2, L$5, All_Payments!47:47)</f>
        <v>0</v>
      </c>
      <c r="M50" s="27">
        <f t="shared" si="0"/>
        <v>1003800</v>
      </c>
    </row>
    <row r="51" spans="5:13" x14ac:dyDescent="0.75">
      <c r="E51" s="43" t="s">
        <v>249</v>
      </c>
      <c r="F51" s="27">
        <f>SUMIF(All_Payments!$2:$2, F$5, All_Payments!48:48)</f>
        <v>0</v>
      </c>
      <c r="G51" s="27">
        <f>SUMIF(All_Payments!$2:$2, G$5, All_Payments!48:48)</f>
        <v>304000</v>
      </c>
      <c r="H51" s="27">
        <f>SUMIF(All_Payments!$2:$2, H$5, All_Payments!48:48)</f>
        <v>122400</v>
      </c>
      <c r="I51" s="27">
        <f>SUMIF(All_Payments!$2:$2, I$5, All_Payments!48:48)</f>
        <v>475000</v>
      </c>
      <c r="J51" s="27">
        <f>SUMIF(All_Payments!$2:$2, J$5, All_Payments!48:48)</f>
        <v>0</v>
      </c>
      <c r="K51" s="27">
        <f>SUMIF(All_Payments!$2:$2, K$5, All_Payments!48:48)</f>
        <v>0</v>
      </c>
      <c r="L51" s="27">
        <f>SUMIF(All_Payments!$2:$2, L$5, All_Payments!48:48)</f>
        <v>0</v>
      </c>
      <c r="M51" s="27">
        <f t="shared" si="0"/>
        <v>901400</v>
      </c>
    </row>
    <row r="52" spans="5:13" x14ac:dyDescent="0.75">
      <c r="E52" s="43" t="s">
        <v>250</v>
      </c>
      <c r="F52" s="27">
        <f>SUMIF(All_Payments!$2:$2, F$5, All_Payments!49:49)</f>
        <v>0</v>
      </c>
      <c r="G52" s="27">
        <f>SUMIF(All_Payments!$2:$2, G$5, All_Payments!49:49)</f>
        <v>200000</v>
      </c>
      <c r="H52" s="27">
        <f>SUMIF(All_Payments!$2:$2, H$5, All_Payments!49:49)</f>
        <v>122400</v>
      </c>
      <c r="I52" s="27">
        <f>SUMIF(All_Payments!$2:$2, I$5, All_Payments!49:49)</f>
        <v>480000</v>
      </c>
      <c r="J52" s="27">
        <f>SUMIF(All_Payments!$2:$2, J$5, All_Payments!49:49)</f>
        <v>0</v>
      </c>
      <c r="K52" s="27">
        <f>SUMIF(All_Payments!$2:$2, K$5, All_Payments!49:49)</f>
        <v>0</v>
      </c>
      <c r="L52" s="27">
        <f>SUMIF(All_Payments!$2:$2, L$5, All_Payments!49:49)</f>
        <v>0</v>
      </c>
      <c r="M52" s="27">
        <f t="shared" si="0"/>
        <v>802400</v>
      </c>
    </row>
    <row r="53" spans="5:13" x14ac:dyDescent="0.75">
      <c r="E53" s="43" t="s">
        <v>251</v>
      </c>
      <c r="F53" s="27">
        <f>SUMIF(All_Payments!$2:$2, F$5, All_Payments!50:50)</f>
        <v>0</v>
      </c>
      <c r="G53" s="27">
        <f>SUMIF(All_Payments!$2:$2, G$5, All_Payments!50:50)</f>
        <v>204000</v>
      </c>
      <c r="H53" s="27">
        <f>SUMIF(All_Payments!$2:$2, H$5, All_Payments!50:50)</f>
        <v>122400</v>
      </c>
      <c r="I53" s="27">
        <f>SUMIF(All_Payments!$2:$2, I$5, All_Payments!50:50)</f>
        <v>385000</v>
      </c>
      <c r="J53" s="27">
        <f>SUMIF(All_Payments!$2:$2, J$5, All_Payments!50:50)</f>
        <v>0</v>
      </c>
      <c r="K53" s="27">
        <f>SUMIF(All_Payments!$2:$2, K$5, All_Payments!50:50)</f>
        <v>0</v>
      </c>
      <c r="L53" s="27">
        <f>SUMIF(All_Payments!$2:$2, L$5, All_Payments!50:50)</f>
        <v>0</v>
      </c>
      <c r="M53" s="27">
        <f t="shared" si="0"/>
        <v>711400</v>
      </c>
    </row>
    <row r="54" spans="5:13" x14ac:dyDescent="0.75">
      <c r="E54" s="43" t="s">
        <v>252</v>
      </c>
      <c r="F54" s="27">
        <f>SUMIF(All_Payments!$2:$2, F$5, All_Payments!51:51)</f>
        <v>0</v>
      </c>
      <c r="G54" s="27">
        <f>SUMIF(All_Payments!$2:$2, G$5, All_Payments!51:51)</f>
        <v>153000</v>
      </c>
      <c r="H54" s="27">
        <f>SUMIF(All_Payments!$2:$2, H$5, All_Payments!51:51)</f>
        <v>108000</v>
      </c>
      <c r="I54" s="27">
        <f>SUMIF(All_Payments!$2:$2, I$5, All_Payments!51:51)</f>
        <v>389000</v>
      </c>
      <c r="J54" s="27">
        <f>SUMIF(All_Payments!$2:$2, J$5, All_Payments!51:51)</f>
        <v>0</v>
      </c>
      <c r="K54" s="27">
        <f>SUMIF(All_Payments!$2:$2, K$5, All_Payments!51:51)</f>
        <v>0</v>
      </c>
      <c r="L54" s="27">
        <f>SUMIF(All_Payments!$2:$2, L$5, All_Payments!51:51)</f>
        <v>0</v>
      </c>
      <c r="M54" s="27">
        <f t="shared" si="0"/>
        <v>650000</v>
      </c>
    </row>
    <row r="55" spans="5:13" x14ac:dyDescent="0.75">
      <c r="E55" s="43" t="s">
        <v>253</v>
      </c>
      <c r="F55" s="27">
        <f>SUMIF(All_Payments!$2:$2, F$5, All_Payments!52:52)</f>
        <v>0</v>
      </c>
      <c r="G55" s="27">
        <f>SUMIF(All_Payments!$2:$2, G$5, All_Payments!52:52)</f>
        <v>101000</v>
      </c>
      <c r="H55" s="27">
        <f>SUMIF(All_Payments!$2:$2, H$5, All_Payments!52:52)</f>
        <v>108000</v>
      </c>
      <c r="I55" s="27">
        <f>SUMIF(All_Payments!$2:$2, I$5, All_Payments!52:52)</f>
        <v>293000</v>
      </c>
      <c r="J55" s="27">
        <f>SUMIF(All_Payments!$2:$2, J$5, All_Payments!52:52)</f>
        <v>0</v>
      </c>
      <c r="K55" s="27">
        <f>SUMIF(All_Payments!$2:$2, K$5, All_Payments!52:52)</f>
        <v>0</v>
      </c>
      <c r="L55" s="27">
        <f>SUMIF(All_Payments!$2:$2, L$5, All_Payments!52:52)</f>
        <v>0</v>
      </c>
      <c r="M55" s="27">
        <f t="shared" si="0"/>
        <v>502000</v>
      </c>
    </row>
    <row r="56" spans="5:13" x14ac:dyDescent="0.75">
      <c r="E56" s="43" t="s">
        <v>254</v>
      </c>
      <c r="F56" s="27">
        <f>SUMIF(All_Payments!$2:$2, F$5, All_Payments!53:53)</f>
        <v>0</v>
      </c>
      <c r="G56" s="27">
        <f>SUMIF(All_Payments!$2:$2, G$5, All_Payments!53:53)</f>
        <v>103000</v>
      </c>
      <c r="H56" s="27">
        <f>SUMIF(All_Payments!$2:$2, H$5, All_Payments!53:53)</f>
        <v>100800</v>
      </c>
      <c r="I56" s="27">
        <f>SUMIF(All_Payments!$2:$2, I$5, All_Payments!53:53)</f>
        <v>96000</v>
      </c>
      <c r="J56" s="27">
        <f>SUMIF(All_Payments!$2:$2, J$5, All_Payments!53:53)</f>
        <v>0</v>
      </c>
      <c r="K56" s="27">
        <f>SUMIF(All_Payments!$2:$2, K$5, All_Payments!53:53)</f>
        <v>0</v>
      </c>
      <c r="L56" s="27">
        <f>SUMIF(All_Payments!$2:$2, L$5, All_Payments!53:53)</f>
        <v>0</v>
      </c>
      <c r="M56" s="27">
        <f t="shared" si="0"/>
        <v>299800</v>
      </c>
    </row>
    <row r="57" spans="5:13" x14ac:dyDescent="0.75">
      <c r="E57" s="43" t="s">
        <v>255</v>
      </c>
      <c r="F57" s="27">
        <f>SUMIF(All_Payments!$2:$2, F$5, All_Payments!54:54)</f>
        <v>0</v>
      </c>
      <c r="G57" s="27">
        <f>SUMIF(All_Payments!$2:$2, G$5, All_Payments!54:54)</f>
        <v>105000</v>
      </c>
      <c r="H57" s="27">
        <f>SUMIF(All_Payments!$2:$2, H$5, All_Payments!54:54)</f>
        <v>100800</v>
      </c>
      <c r="I57" s="27">
        <f>SUMIF(All_Payments!$2:$2, I$5, All_Payments!54:54)</f>
        <v>97000</v>
      </c>
      <c r="J57" s="27">
        <f>SUMIF(All_Payments!$2:$2, J$5, All_Payments!54:54)</f>
        <v>0</v>
      </c>
      <c r="K57" s="27">
        <f>SUMIF(All_Payments!$2:$2, K$5, All_Payments!54:54)</f>
        <v>0</v>
      </c>
      <c r="L57" s="27">
        <f>SUMIF(All_Payments!$2:$2, L$5, All_Payments!54:54)</f>
        <v>0</v>
      </c>
      <c r="M57" s="27">
        <f t="shared" si="0"/>
        <v>302800</v>
      </c>
    </row>
    <row r="58" spans="5:13" x14ac:dyDescent="0.75">
      <c r="E58" s="43" t="s">
        <v>256</v>
      </c>
      <c r="F58" s="27">
        <f>SUMIF(All_Payments!$2:$2, F$5, All_Payments!55:55)</f>
        <v>0</v>
      </c>
      <c r="G58" s="27">
        <f>SUMIF(All_Payments!$2:$2, G$5, All_Payments!55:55)</f>
        <v>107000</v>
      </c>
      <c r="H58" s="27">
        <f>SUMIF(All_Payments!$2:$2, H$5, All_Payments!55:55)</f>
        <v>100800</v>
      </c>
      <c r="I58" s="27">
        <f>SUMIF(All_Payments!$2:$2, I$5, All_Payments!55:55)</f>
        <v>98000</v>
      </c>
      <c r="J58" s="27">
        <f>SUMIF(All_Payments!$2:$2, J$5, All_Payments!55:55)</f>
        <v>0</v>
      </c>
      <c r="K58" s="27">
        <f>SUMIF(All_Payments!$2:$2, K$5, All_Payments!55:55)</f>
        <v>0</v>
      </c>
      <c r="L58" s="27">
        <f>SUMIF(All_Payments!$2:$2, L$5, All_Payments!55:55)</f>
        <v>0</v>
      </c>
      <c r="M58" s="27">
        <f t="shared" si="0"/>
        <v>305800</v>
      </c>
    </row>
    <row r="59" spans="5:13" x14ac:dyDescent="0.75">
      <c r="E59" s="43" t="s">
        <v>257</v>
      </c>
      <c r="F59" s="27">
        <f>SUMIF(All_Payments!$2:$2, F$5, All_Payments!56:56)</f>
        <v>0</v>
      </c>
      <c r="G59" s="27">
        <f>SUMIF(All_Payments!$2:$2, G$5, All_Payments!56:56)</f>
        <v>54000</v>
      </c>
      <c r="H59" s="27">
        <f>SUMIF(All_Payments!$2:$2, H$5, All_Payments!56:56)</f>
        <v>93600</v>
      </c>
      <c r="I59" s="27">
        <f>SUMIF(All_Payments!$2:$2, I$5, All_Payments!56:56)</f>
        <v>99000</v>
      </c>
      <c r="J59" s="27">
        <f>SUMIF(All_Payments!$2:$2, J$5, All_Payments!56:56)</f>
        <v>0</v>
      </c>
      <c r="K59" s="27">
        <f>SUMIF(All_Payments!$2:$2, K$5, All_Payments!56:56)</f>
        <v>0</v>
      </c>
      <c r="L59" s="27">
        <f>SUMIF(All_Payments!$2:$2, L$5, All_Payments!56:56)</f>
        <v>0</v>
      </c>
      <c r="M59" s="27">
        <f t="shared" si="0"/>
        <v>246600</v>
      </c>
    </row>
    <row r="60" spans="5:13" x14ac:dyDescent="0.75">
      <c r="E60" s="43" t="s">
        <v>258</v>
      </c>
      <c r="F60" s="27">
        <f>SUMIF(All_Payments!$2:$2, F$5, All_Payments!57:57)</f>
        <v>0</v>
      </c>
      <c r="G60" s="27">
        <f>SUMIF(All_Payments!$2:$2, G$5, All_Payments!57:57)</f>
        <v>0</v>
      </c>
      <c r="H60" s="27">
        <f>SUMIF(All_Payments!$2:$2, H$5, All_Payments!57:57)</f>
        <v>79200</v>
      </c>
      <c r="I60" s="27">
        <f>SUMIF(All_Payments!$2:$2, I$5, All_Payments!57:57)</f>
        <v>0</v>
      </c>
      <c r="J60" s="27">
        <f>SUMIF(All_Payments!$2:$2, J$5, All_Payments!57:57)</f>
        <v>0</v>
      </c>
      <c r="K60" s="27">
        <f>SUMIF(All_Payments!$2:$2, K$5, All_Payments!57:57)</f>
        <v>0</v>
      </c>
      <c r="L60" s="27">
        <f>SUMIF(All_Payments!$2:$2, L$5, All_Payments!57:57)</f>
        <v>0</v>
      </c>
      <c r="M60" s="27">
        <f t="shared" si="0"/>
        <v>79200</v>
      </c>
    </row>
    <row r="61" spans="5:13" x14ac:dyDescent="0.75">
      <c r="E61" s="43" t="s">
        <v>259</v>
      </c>
      <c r="F61" s="27">
        <f>SUMIF(All_Payments!$2:$2, F$5, All_Payments!58:58)</f>
        <v>0</v>
      </c>
      <c r="G61" s="27">
        <f>SUMIF(All_Payments!$2:$2, G$5, All_Payments!58:58)</f>
        <v>0</v>
      </c>
      <c r="H61" s="27">
        <f>SUMIF(All_Payments!$2:$2, H$5, All_Payments!58:58)</f>
        <v>79200</v>
      </c>
      <c r="I61" s="27">
        <f>SUMIF(All_Payments!$2:$2, I$5, All_Payments!58:58)</f>
        <v>0</v>
      </c>
      <c r="J61" s="27">
        <f>SUMIF(All_Payments!$2:$2, J$5, All_Payments!58:58)</f>
        <v>0</v>
      </c>
      <c r="K61" s="27">
        <f>SUMIF(All_Payments!$2:$2, K$5, All_Payments!58:58)</f>
        <v>0</v>
      </c>
      <c r="L61" s="27">
        <f>SUMIF(All_Payments!$2:$2, L$5, All_Payments!58:58)</f>
        <v>0</v>
      </c>
      <c r="M61" s="27">
        <f t="shared" si="0"/>
        <v>79200</v>
      </c>
    </row>
    <row r="62" spans="5:13" x14ac:dyDescent="0.75">
      <c r="E62" s="43" t="s">
        <v>260</v>
      </c>
      <c r="F62" s="27">
        <f>SUMIF(All_Payments!$2:$2, F$5, All_Payments!59:59)</f>
        <v>0</v>
      </c>
      <c r="G62" s="27">
        <f>SUMIF(All_Payments!$2:$2, G$5, All_Payments!59:59)</f>
        <v>0</v>
      </c>
      <c r="H62" s="27">
        <f>SUMIF(All_Payments!$2:$2, H$5, All_Payments!59:59)</f>
        <v>72000</v>
      </c>
      <c r="I62" s="27">
        <f>SUMIF(All_Payments!$2:$2, I$5, All_Payments!59:59)</f>
        <v>0</v>
      </c>
      <c r="J62" s="27">
        <f>SUMIF(All_Payments!$2:$2, J$5, All_Payments!59:59)</f>
        <v>0</v>
      </c>
      <c r="K62" s="27">
        <f>SUMIF(All_Payments!$2:$2, K$5, All_Payments!59:59)</f>
        <v>0</v>
      </c>
      <c r="L62" s="27">
        <f>SUMIF(All_Payments!$2:$2, L$5, All_Payments!59:59)</f>
        <v>0</v>
      </c>
      <c r="M62" s="27">
        <f t="shared" si="0"/>
        <v>72000</v>
      </c>
    </row>
    <row r="63" spans="5:13" x14ac:dyDescent="0.75">
      <c r="E63" s="43" t="s">
        <v>261</v>
      </c>
      <c r="F63" s="27">
        <f>SUMIF(All_Payments!$2:$2, F$5, All_Payments!60:60)</f>
        <v>0</v>
      </c>
      <c r="G63" s="27">
        <f>SUMIF(All_Payments!$2:$2, G$5, All_Payments!60:60)</f>
        <v>0</v>
      </c>
      <c r="H63" s="27">
        <f>SUMIF(All_Payments!$2:$2, H$5, All_Payments!60:60)</f>
        <v>72000</v>
      </c>
      <c r="I63" s="27">
        <f>SUMIF(All_Payments!$2:$2, I$5, All_Payments!60:60)</f>
        <v>0</v>
      </c>
      <c r="J63" s="27">
        <f>SUMIF(All_Payments!$2:$2, J$5, All_Payments!60:60)</f>
        <v>0</v>
      </c>
      <c r="K63" s="27">
        <f>SUMIF(All_Payments!$2:$2, K$5, All_Payments!60:60)</f>
        <v>0</v>
      </c>
      <c r="L63" s="27">
        <f>SUMIF(All_Payments!$2:$2, L$5, All_Payments!60:60)</f>
        <v>0</v>
      </c>
      <c r="M63" s="27">
        <f t="shared" si="0"/>
        <v>72000</v>
      </c>
    </row>
    <row r="64" spans="5:13" x14ac:dyDescent="0.75">
      <c r="E64" s="43" t="s">
        <v>262</v>
      </c>
      <c r="F64" s="27">
        <f>SUMIF(All_Payments!$2:$2, F$5, All_Payments!61:61)</f>
        <v>0</v>
      </c>
      <c r="G64" s="27">
        <f>SUMIF(All_Payments!$2:$2, G$5, All_Payments!61:61)</f>
        <v>0</v>
      </c>
      <c r="H64" s="27">
        <f>SUMIF(All_Payments!$2:$2, H$5, All_Payments!61:61)</f>
        <v>64800</v>
      </c>
      <c r="I64" s="27">
        <f>SUMIF(All_Payments!$2:$2, I$5, All_Payments!61:61)</f>
        <v>0</v>
      </c>
      <c r="J64" s="27">
        <f>SUMIF(All_Payments!$2:$2, J$5, All_Payments!61:61)</f>
        <v>0</v>
      </c>
      <c r="K64" s="27">
        <f>SUMIF(All_Payments!$2:$2, K$5, All_Payments!61:61)</f>
        <v>0</v>
      </c>
      <c r="L64" s="27">
        <f>SUMIF(All_Payments!$2:$2, L$5, All_Payments!61:61)</f>
        <v>0</v>
      </c>
      <c r="M64" s="27">
        <f t="shared" si="0"/>
        <v>64800</v>
      </c>
    </row>
    <row r="65" spans="5:13" x14ac:dyDescent="0.75">
      <c r="E65" s="43" t="s">
        <v>263</v>
      </c>
      <c r="F65" s="27">
        <f>SUMIF(All_Payments!$2:$2, F$5, All_Payments!62:62)</f>
        <v>0</v>
      </c>
      <c r="G65" s="27">
        <f>SUMIF(All_Payments!$2:$2, G$5, All_Payments!62:62)</f>
        <v>0</v>
      </c>
      <c r="H65" s="27">
        <f>SUMIF(All_Payments!$2:$2, H$5, All_Payments!62:62)</f>
        <v>64800</v>
      </c>
      <c r="I65" s="27">
        <f>SUMIF(All_Payments!$2:$2, I$5, All_Payments!62:62)</f>
        <v>0</v>
      </c>
      <c r="J65" s="27">
        <f>SUMIF(All_Payments!$2:$2, J$5, All_Payments!62:62)</f>
        <v>0</v>
      </c>
      <c r="K65" s="27">
        <f>SUMIF(All_Payments!$2:$2, K$5, All_Payments!62:62)</f>
        <v>0</v>
      </c>
      <c r="L65" s="27">
        <f>SUMIF(All_Payments!$2:$2, L$5, All_Payments!62:62)</f>
        <v>0</v>
      </c>
      <c r="M65" s="27">
        <f t="shared" si="0"/>
        <v>64800</v>
      </c>
    </row>
    <row r="66" spans="5:13" x14ac:dyDescent="0.75">
      <c r="E66" s="43" t="s">
        <v>264</v>
      </c>
      <c r="F66" s="27">
        <f>SUMIF(All_Payments!$2:$2, F$5, All_Payments!63:63)</f>
        <v>0</v>
      </c>
      <c r="G66" s="27">
        <f>SUMIF(All_Payments!$2:$2, G$5, All_Payments!63:63)</f>
        <v>0</v>
      </c>
      <c r="H66" s="27">
        <f>SUMIF(All_Payments!$2:$2, H$5, All_Payments!63:63)</f>
        <v>50400</v>
      </c>
      <c r="I66" s="27">
        <f>SUMIF(All_Payments!$2:$2, I$5, All_Payments!63:63)</f>
        <v>0</v>
      </c>
      <c r="J66" s="27">
        <f>SUMIF(All_Payments!$2:$2, J$5, All_Payments!63:63)</f>
        <v>0</v>
      </c>
      <c r="K66" s="27">
        <f>SUMIF(All_Payments!$2:$2, K$5, All_Payments!63:63)</f>
        <v>0</v>
      </c>
      <c r="L66" s="27">
        <f>SUMIF(All_Payments!$2:$2, L$5, All_Payments!63:63)</f>
        <v>0</v>
      </c>
      <c r="M66" s="27">
        <f t="shared" si="0"/>
        <v>50400</v>
      </c>
    </row>
    <row r="67" spans="5:13" x14ac:dyDescent="0.75">
      <c r="E67" s="43" t="s">
        <v>265</v>
      </c>
      <c r="F67" s="27">
        <f>SUMIF(All_Payments!$2:$2, F$5, All_Payments!64:64)</f>
        <v>0</v>
      </c>
      <c r="G67" s="27">
        <f>SUMIF(All_Payments!$2:$2, G$5, All_Payments!64:64)</f>
        <v>0</v>
      </c>
      <c r="H67" s="27">
        <f>SUMIF(All_Payments!$2:$2, H$5, All_Payments!64:64)</f>
        <v>50400</v>
      </c>
      <c r="I67" s="27">
        <f>SUMIF(All_Payments!$2:$2, I$5, All_Payments!64:64)</f>
        <v>0</v>
      </c>
      <c r="J67" s="27">
        <f>SUMIF(All_Payments!$2:$2, J$5, All_Payments!64:64)</f>
        <v>0</v>
      </c>
      <c r="K67" s="27">
        <f>SUMIF(All_Payments!$2:$2, K$5, All_Payments!64:64)</f>
        <v>0</v>
      </c>
      <c r="L67" s="27">
        <f>SUMIF(All_Payments!$2:$2, L$5, All_Payments!64:64)</f>
        <v>0</v>
      </c>
      <c r="M67" s="27">
        <f t="shared" si="0"/>
        <v>50400</v>
      </c>
    </row>
    <row r="68" spans="5:13" x14ac:dyDescent="0.75">
      <c r="E68" s="43" t="s">
        <v>266</v>
      </c>
      <c r="F68" s="27">
        <f>SUMIF(All_Payments!$2:$2, F$5, All_Payments!65:65)</f>
        <v>0</v>
      </c>
      <c r="G68" s="27">
        <f>SUMIF(All_Payments!$2:$2, G$5, All_Payments!65:65)</f>
        <v>0</v>
      </c>
      <c r="H68" s="27">
        <f>SUMIF(All_Payments!$2:$2, H$5, All_Payments!65:65)</f>
        <v>43200</v>
      </c>
      <c r="I68" s="27">
        <f>SUMIF(All_Payments!$2:$2, I$5, All_Payments!65:65)</f>
        <v>0</v>
      </c>
      <c r="J68" s="27">
        <f>SUMIF(All_Payments!$2:$2, J$5, All_Payments!65:65)</f>
        <v>0</v>
      </c>
      <c r="K68" s="27">
        <f>SUMIF(All_Payments!$2:$2, K$5, All_Payments!65:65)</f>
        <v>0</v>
      </c>
      <c r="L68" s="27">
        <f>SUMIF(All_Payments!$2:$2, L$5, All_Payments!65:65)</f>
        <v>0</v>
      </c>
      <c r="M68" s="27">
        <f t="shared" si="0"/>
        <v>43200</v>
      </c>
    </row>
    <row r="69" spans="5:13" x14ac:dyDescent="0.75">
      <c r="E69" s="43" t="s">
        <v>267</v>
      </c>
      <c r="F69" s="27">
        <f>SUMIF(All_Payments!$2:$2, F$5, All_Payments!66:66)</f>
        <v>0</v>
      </c>
      <c r="G69" s="27">
        <f>SUMIF(All_Payments!$2:$2, G$5, All_Payments!66:66)</f>
        <v>0</v>
      </c>
      <c r="H69" s="27">
        <f>SUMIF(All_Payments!$2:$2, H$5, All_Payments!66:66)</f>
        <v>36000</v>
      </c>
      <c r="I69" s="27">
        <f>SUMIF(All_Payments!$2:$2, I$5, All_Payments!66:66)</f>
        <v>0</v>
      </c>
      <c r="J69" s="27">
        <f>SUMIF(All_Payments!$2:$2, J$5, All_Payments!66:66)</f>
        <v>0</v>
      </c>
      <c r="K69" s="27">
        <f>SUMIF(All_Payments!$2:$2, K$5, All_Payments!66:66)</f>
        <v>0</v>
      </c>
      <c r="L69" s="27">
        <f>SUMIF(All_Payments!$2:$2, L$5, All_Payments!66:66)</f>
        <v>0</v>
      </c>
      <c r="M69" s="27">
        <f t="shared" si="0"/>
        <v>36000</v>
      </c>
    </row>
    <row r="70" spans="5:13" x14ac:dyDescent="0.75">
      <c r="E70" s="43" t="s">
        <v>268</v>
      </c>
      <c r="F70" s="27">
        <f>SUMIF(All_Payments!$2:$2, F$5, All_Payments!67:67)</f>
        <v>0</v>
      </c>
      <c r="G70" s="27">
        <f>SUMIF(All_Payments!$2:$2, G$5, All_Payments!67:67)</f>
        <v>0</v>
      </c>
      <c r="H70" s="27">
        <f>SUMIF(All_Payments!$2:$2, H$5, All_Payments!67:67)</f>
        <v>36000</v>
      </c>
      <c r="I70" s="27">
        <f>SUMIF(All_Payments!$2:$2, I$5, All_Payments!67:67)</f>
        <v>0</v>
      </c>
      <c r="J70" s="27">
        <f>SUMIF(All_Payments!$2:$2, J$5, All_Payments!67:67)</f>
        <v>0</v>
      </c>
      <c r="K70" s="27">
        <f>SUMIF(All_Payments!$2:$2, K$5, All_Payments!67:67)</f>
        <v>0</v>
      </c>
      <c r="L70" s="27">
        <f>SUMIF(All_Payments!$2:$2, L$5, All_Payments!67:67)</f>
        <v>0</v>
      </c>
      <c r="M70" s="27">
        <f t="shared" si="0"/>
        <v>36000</v>
      </c>
    </row>
    <row r="71" spans="5:13" x14ac:dyDescent="0.75">
      <c r="E71" s="43" t="s">
        <v>269</v>
      </c>
      <c r="F71" s="27">
        <f>SUMIF(All_Payments!$2:$2, F$5, All_Payments!68:68)</f>
        <v>0</v>
      </c>
      <c r="G71" s="27">
        <f>SUMIF(All_Payments!$2:$2, G$5, All_Payments!68:68)</f>
        <v>0</v>
      </c>
      <c r="H71" s="27">
        <f>SUMIF(All_Payments!$2:$2, H$5, All_Payments!68:68)</f>
        <v>36000</v>
      </c>
      <c r="I71" s="27">
        <f>SUMIF(All_Payments!$2:$2, I$5, All_Payments!68:68)</f>
        <v>0</v>
      </c>
      <c r="J71" s="27">
        <f>SUMIF(All_Payments!$2:$2, J$5, All_Payments!68:68)</f>
        <v>0</v>
      </c>
      <c r="K71" s="27">
        <f>SUMIF(All_Payments!$2:$2, K$5, All_Payments!68:68)</f>
        <v>0</v>
      </c>
      <c r="L71" s="27">
        <f>SUMIF(All_Payments!$2:$2, L$5, All_Payments!68:68)</f>
        <v>0</v>
      </c>
      <c r="M71" s="27">
        <f t="shared" ref="M71:M105" si="1">SUM(F71:L71)</f>
        <v>36000</v>
      </c>
    </row>
    <row r="72" spans="5:13" x14ac:dyDescent="0.75">
      <c r="E72" s="43" t="s">
        <v>270</v>
      </c>
      <c r="F72" s="27">
        <f>SUMIF(All_Payments!$2:$2, F$5, All_Payments!69:69)</f>
        <v>0</v>
      </c>
      <c r="G72" s="27">
        <f>SUMIF(All_Payments!$2:$2, G$5, All_Payments!69:69)</f>
        <v>0</v>
      </c>
      <c r="H72" s="27">
        <f>SUMIF(All_Payments!$2:$2, H$5, All_Payments!69:69)</f>
        <v>21600</v>
      </c>
      <c r="I72" s="27">
        <f>SUMIF(All_Payments!$2:$2, I$5, All_Payments!69:69)</f>
        <v>0</v>
      </c>
      <c r="J72" s="27">
        <f>SUMIF(All_Payments!$2:$2, J$5, All_Payments!69:69)</f>
        <v>0</v>
      </c>
      <c r="K72" s="27">
        <f>SUMIF(All_Payments!$2:$2, K$5, All_Payments!69:69)</f>
        <v>0</v>
      </c>
      <c r="L72" s="27">
        <f>SUMIF(All_Payments!$2:$2, L$5, All_Payments!69:69)</f>
        <v>0</v>
      </c>
      <c r="M72" s="27">
        <f t="shared" si="1"/>
        <v>21600</v>
      </c>
    </row>
    <row r="73" spans="5:13" x14ac:dyDescent="0.75">
      <c r="E73" s="43" t="s">
        <v>271</v>
      </c>
      <c r="F73" s="27">
        <f>SUMIF(All_Payments!$2:$2, F$5, All_Payments!70:70)</f>
        <v>0</v>
      </c>
      <c r="G73" s="27">
        <f>SUMIF(All_Payments!$2:$2, G$5, All_Payments!70:70)</f>
        <v>0</v>
      </c>
      <c r="H73" s="27">
        <f>SUMIF(All_Payments!$2:$2, H$5, All_Payments!70:70)</f>
        <v>21600</v>
      </c>
      <c r="I73" s="27">
        <f>SUMIF(All_Payments!$2:$2, I$5, All_Payments!70:70)</f>
        <v>0</v>
      </c>
      <c r="J73" s="27">
        <f>SUMIF(All_Payments!$2:$2, J$5, All_Payments!70:70)</f>
        <v>0</v>
      </c>
      <c r="K73" s="27">
        <f>SUMIF(All_Payments!$2:$2, K$5, All_Payments!70:70)</f>
        <v>0</v>
      </c>
      <c r="L73" s="27">
        <f>SUMIF(All_Payments!$2:$2, L$5, All_Payments!70:70)</f>
        <v>0</v>
      </c>
      <c r="M73" s="27">
        <f t="shared" si="1"/>
        <v>21600</v>
      </c>
    </row>
    <row r="74" spans="5:13" x14ac:dyDescent="0.75">
      <c r="E74" s="43" t="s">
        <v>272</v>
      </c>
      <c r="F74" s="27">
        <f>SUMIF(All_Payments!$2:$2, F$5, All_Payments!71:71)</f>
        <v>0</v>
      </c>
      <c r="G74" s="27">
        <f>SUMIF(All_Payments!$2:$2, G$5, All_Payments!71:71)</f>
        <v>0</v>
      </c>
      <c r="H74" s="27">
        <f>SUMIF(All_Payments!$2:$2, H$5, All_Payments!71:71)</f>
        <v>21600</v>
      </c>
      <c r="I74" s="27">
        <f>SUMIF(All_Payments!$2:$2, I$5, All_Payments!71:71)</f>
        <v>0</v>
      </c>
      <c r="J74" s="27">
        <f>SUMIF(All_Payments!$2:$2, J$5, All_Payments!71:71)</f>
        <v>0</v>
      </c>
      <c r="K74" s="27">
        <f>SUMIF(All_Payments!$2:$2, K$5, All_Payments!71:71)</f>
        <v>0</v>
      </c>
      <c r="L74" s="27">
        <f>SUMIF(All_Payments!$2:$2, L$5, All_Payments!71:71)</f>
        <v>0</v>
      </c>
      <c r="M74" s="27">
        <f t="shared" si="1"/>
        <v>21600</v>
      </c>
    </row>
    <row r="75" spans="5:13" x14ac:dyDescent="0.75">
      <c r="E75" s="43" t="s">
        <v>273</v>
      </c>
      <c r="F75" s="27">
        <f>SUMIF(All_Payments!$2:$2, F$5, All_Payments!72:72)</f>
        <v>0</v>
      </c>
      <c r="G75" s="27">
        <f>SUMIF(All_Payments!$2:$2, G$5, All_Payments!72:72)</f>
        <v>0</v>
      </c>
      <c r="H75" s="27">
        <f>SUMIF(All_Payments!$2:$2, H$5, All_Payments!72:72)</f>
        <v>21600</v>
      </c>
      <c r="I75" s="27">
        <f>SUMIF(All_Payments!$2:$2, I$5, All_Payments!72:72)</f>
        <v>0</v>
      </c>
      <c r="J75" s="27">
        <f>SUMIF(All_Payments!$2:$2, J$5, All_Payments!72:72)</f>
        <v>0</v>
      </c>
      <c r="K75" s="27">
        <f>SUMIF(All_Payments!$2:$2, K$5, All_Payments!72:72)</f>
        <v>0</v>
      </c>
      <c r="L75" s="27">
        <f>SUMIF(All_Payments!$2:$2, L$5, All_Payments!72:72)</f>
        <v>0</v>
      </c>
      <c r="M75" s="27">
        <f t="shared" si="1"/>
        <v>21600</v>
      </c>
    </row>
    <row r="76" spans="5:13" x14ac:dyDescent="0.75">
      <c r="E76" s="43" t="s">
        <v>274</v>
      </c>
      <c r="F76" s="27">
        <f>SUMIF(All_Payments!$2:$2, F$5, All_Payments!73:73)</f>
        <v>0</v>
      </c>
      <c r="G76" s="27">
        <f>SUMIF(All_Payments!$2:$2, G$5, All_Payments!73:73)</f>
        <v>0</v>
      </c>
      <c r="H76" s="27">
        <f>SUMIF(All_Payments!$2:$2, H$5, All_Payments!73:73)</f>
        <v>7200</v>
      </c>
      <c r="I76" s="27">
        <f>SUMIF(All_Payments!$2:$2, I$5, All_Payments!73:73)</f>
        <v>0</v>
      </c>
      <c r="J76" s="27">
        <f>SUMIF(All_Payments!$2:$2, J$5, All_Payments!73:73)</f>
        <v>0</v>
      </c>
      <c r="K76" s="27">
        <f>SUMIF(All_Payments!$2:$2, K$5, All_Payments!73:73)</f>
        <v>0</v>
      </c>
      <c r="L76" s="27">
        <f>SUMIF(All_Payments!$2:$2, L$5, All_Payments!73:73)</f>
        <v>0</v>
      </c>
      <c r="M76" s="27">
        <f t="shared" si="1"/>
        <v>7200</v>
      </c>
    </row>
    <row r="77" spans="5:13" x14ac:dyDescent="0.75">
      <c r="E77" s="43" t="s">
        <v>275</v>
      </c>
      <c r="F77" s="27">
        <f>SUMIF(All_Payments!$2:$2, F$5, All_Payments!74:74)</f>
        <v>0</v>
      </c>
      <c r="G77" s="27">
        <f>SUMIF(All_Payments!$2:$2, G$5, All_Payments!74:74)</f>
        <v>0</v>
      </c>
      <c r="H77" s="27">
        <f>SUMIF(All_Payments!$2:$2, H$5, All_Payments!74:74)</f>
        <v>0</v>
      </c>
      <c r="I77" s="27">
        <f>SUMIF(All_Payments!$2:$2, I$5, All_Payments!74:74)</f>
        <v>0</v>
      </c>
      <c r="J77" s="27">
        <f>SUMIF(All_Payments!$2:$2, J$5, All_Payments!74:74)</f>
        <v>0</v>
      </c>
      <c r="K77" s="27">
        <f>SUMIF(All_Payments!$2:$2, K$5, All_Payments!74:74)</f>
        <v>0</v>
      </c>
      <c r="L77" s="27">
        <f>SUMIF(All_Payments!$2:$2, L$5, All_Payments!74:74)</f>
        <v>0</v>
      </c>
      <c r="M77" s="27">
        <f t="shared" si="1"/>
        <v>0</v>
      </c>
    </row>
    <row r="78" spans="5:13" x14ac:dyDescent="0.75">
      <c r="E78" s="43" t="s">
        <v>276</v>
      </c>
      <c r="F78" s="27">
        <f>SUMIF(All_Payments!$2:$2, F$5, All_Payments!75:75)</f>
        <v>0</v>
      </c>
      <c r="G78" s="27">
        <f>SUMIF(All_Payments!$2:$2, G$5, All_Payments!75:75)</f>
        <v>0</v>
      </c>
      <c r="H78" s="27">
        <f>SUMIF(All_Payments!$2:$2, H$5, All_Payments!75:75)</f>
        <v>0</v>
      </c>
      <c r="I78" s="27">
        <f>SUMIF(All_Payments!$2:$2, I$5, All_Payments!75:75)</f>
        <v>0</v>
      </c>
      <c r="J78" s="27">
        <f>SUMIF(All_Payments!$2:$2, J$5, All_Payments!75:75)</f>
        <v>0</v>
      </c>
      <c r="K78" s="27">
        <f>SUMIF(All_Payments!$2:$2, K$5, All_Payments!75:75)</f>
        <v>0</v>
      </c>
      <c r="L78" s="27">
        <f>SUMIF(All_Payments!$2:$2, L$5, All_Payments!75:75)</f>
        <v>0</v>
      </c>
      <c r="M78" s="27">
        <f t="shared" si="1"/>
        <v>0</v>
      </c>
    </row>
    <row r="79" spans="5:13" x14ac:dyDescent="0.75">
      <c r="E79" s="43" t="s">
        <v>277</v>
      </c>
      <c r="F79" s="27">
        <f>SUMIF(All_Payments!$2:$2, F$5, All_Payments!76:76)</f>
        <v>0</v>
      </c>
      <c r="G79" s="27">
        <f>SUMIF(All_Payments!$2:$2, G$5, All_Payments!76:76)</f>
        <v>0</v>
      </c>
      <c r="H79" s="27">
        <f>SUMIF(All_Payments!$2:$2, H$5, All_Payments!76:76)</f>
        <v>0</v>
      </c>
      <c r="I79" s="27">
        <f>SUMIF(All_Payments!$2:$2, I$5, All_Payments!76:76)</f>
        <v>0</v>
      </c>
      <c r="J79" s="27">
        <f>SUMIF(All_Payments!$2:$2, J$5, All_Payments!76:76)</f>
        <v>0</v>
      </c>
      <c r="K79" s="27">
        <f>SUMIF(All_Payments!$2:$2, K$5, All_Payments!76:76)</f>
        <v>0</v>
      </c>
      <c r="L79" s="27">
        <f>SUMIF(All_Payments!$2:$2, L$5, All_Payments!76:76)</f>
        <v>0</v>
      </c>
      <c r="M79" s="27">
        <f t="shared" si="1"/>
        <v>0</v>
      </c>
    </row>
    <row r="80" spans="5:13" x14ac:dyDescent="0.75">
      <c r="E80" s="43" t="s">
        <v>278</v>
      </c>
      <c r="F80" s="27">
        <f>SUMIF(All_Payments!$2:$2, F$5, All_Payments!77:77)</f>
        <v>0</v>
      </c>
      <c r="G80" s="27">
        <f>SUMIF(All_Payments!$2:$2, G$5, All_Payments!77:77)</f>
        <v>0</v>
      </c>
      <c r="H80" s="27">
        <f>SUMIF(All_Payments!$2:$2, H$5, All_Payments!77:77)</f>
        <v>0</v>
      </c>
      <c r="I80" s="27">
        <f>SUMIF(All_Payments!$2:$2, I$5, All_Payments!77:77)</f>
        <v>0</v>
      </c>
      <c r="J80" s="27">
        <f>SUMIF(All_Payments!$2:$2, J$5, All_Payments!77:77)</f>
        <v>0</v>
      </c>
      <c r="K80" s="27">
        <f>SUMIF(All_Payments!$2:$2, K$5, All_Payments!77:77)</f>
        <v>0</v>
      </c>
      <c r="L80" s="27">
        <f>SUMIF(All_Payments!$2:$2, L$5, All_Payments!77:77)</f>
        <v>0</v>
      </c>
      <c r="M80" s="27">
        <f t="shared" si="1"/>
        <v>0</v>
      </c>
    </row>
    <row r="81" spans="5:13" x14ac:dyDescent="0.75">
      <c r="E81" s="43" t="s">
        <v>279</v>
      </c>
      <c r="F81" s="27">
        <f>SUMIF(All_Payments!$2:$2, F$5, All_Payments!78:78)</f>
        <v>0</v>
      </c>
      <c r="G81" s="27">
        <f>SUMIF(All_Payments!$2:$2, G$5, All_Payments!78:78)</f>
        <v>0</v>
      </c>
      <c r="H81" s="27">
        <f>SUMIF(All_Payments!$2:$2, H$5, All_Payments!78:78)</f>
        <v>0</v>
      </c>
      <c r="I81" s="27">
        <f>SUMIF(All_Payments!$2:$2, I$5, All_Payments!78:78)</f>
        <v>0</v>
      </c>
      <c r="J81" s="27">
        <f>SUMIF(All_Payments!$2:$2, J$5, All_Payments!78:78)</f>
        <v>0</v>
      </c>
      <c r="K81" s="27">
        <f>SUMIF(All_Payments!$2:$2, K$5, All_Payments!78:78)</f>
        <v>0</v>
      </c>
      <c r="L81" s="27">
        <f>SUMIF(All_Payments!$2:$2, L$5, All_Payments!78:78)</f>
        <v>0</v>
      </c>
      <c r="M81" s="27">
        <f t="shared" si="1"/>
        <v>0</v>
      </c>
    </row>
    <row r="82" spans="5:13" x14ac:dyDescent="0.75">
      <c r="E82" s="43" t="s">
        <v>280</v>
      </c>
      <c r="F82" s="27">
        <f>SUMIF(All_Payments!$2:$2, F$5, All_Payments!79:79)</f>
        <v>0</v>
      </c>
      <c r="G82" s="27">
        <f>SUMIF(All_Payments!$2:$2, G$5, All_Payments!79:79)</f>
        <v>0</v>
      </c>
      <c r="H82" s="27">
        <f>SUMIF(All_Payments!$2:$2, H$5, All_Payments!79:79)</f>
        <v>0</v>
      </c>
      <c r="I82" s="27">
        <f>SUMIF(All_Payments!$2:$2, I$5, All_Payments!79:79)</f>
        <v>0</v>
      </c>
      <c r="J82" s="27">
        <f>SUMIF(All_Payments!$2:$2, J$5, All_Payments!79:79)</f>
        <v>0</v>
      </c>
      <c r="K82" s="27">
        <f>SUMIF(All_Payments!$2:$2, K$5, All_Payments!79:79)</f>
        <v>0</v>
      </c>
      <c r="L82" s="27">
        <f>SUMIF(All_Payments!$2:$2, L$5, All_Payments!79:79)</f>
        <v>0</v>
      </c>
      <c r="M82" s="27">
        <f t="shared" si="1"/>
        <v>0</v>
      </c>
    </row>
    <row r="83" spans="5:13" x14ac:dyDescent="0.75">
      <c r="E83" s="43" t="s">
        <v>281</v>
      </c>
      <c r="F83" s="27">
        <f>SUMIF(All_Payments!$2:$2, F$5, All_Payments!80:80)</f>
        <v>0</v>
      </c>
      <c r="G83" s="27">
        <f>SUMIF(All_Payments!$2:$2, G$5, All_Payments!80:80)</f>
        <v>0</v>
      </c>
      <c r="H83" s="27">
        <f>SUMIF(All_Payments!$2:$2, H$5, All_Payments!80:80)</f>
        <v>0</v>
      </c>
      <c r="I83" s="27">
        <f>SUMIF(All_Payments!$2:$2, I$5, All_Payments!80:80)</f>
        <v>0</v>
      </c>
      <c r="J83" s="27">
        <f>SUMIF(All_Payments!$2:$2, J$5, All_Payments!80:80)</f>
        <v>0</v>
      </c>
      <c r="K83" s="27">
        <f>SUMIF(All_Payments!$2:$2, K$5, All_Payments!80:80)</f>
        <v>0</v>
      </c>
      <c r="L83" s="27">
        <f>SUMIF(All_Payments!$2:$2, L$5, All_Payments!80:80)</f>
        <v>0</v>
      </c>
      <c r="M83" s="27">
        <f t="shared" si="1"/>
        <v>0</v>
      </c>
    </row>
    <row r="84" spans="5:13" x14ac:dyDescent="0.75">
      <c r="E84" s="43" t="s">
        <v>282</v>
      </c>
      <c r="F84" s="27">
        <f>SUMIF(All_Payments!$2:$2, F$5, All_Payments!81:81)</f>
        <v>0</v>
      </c>
      <c r="G84" s="27">
        <f>SUMIF(All_Payments!$2:$2, G$5, All_Payments!81:81)</f>
        <v>0</v>
      </c>
      <c r="H84" s="27">
        <f>SUMIF(All_Payments!$2:$2, H$5, All_Payments!81:81)</f>
        <v>0</v>
      </c>
      <c r="I84" s="27">
        <f>SUMIF(All_Payments!$2:$2, I$5, All_Payments!81:81)</f>
        <v>0</v>
      </c>
      <c r="J84" s="27">
        <f>SUMIF(All_Payments!$2:$2, J$5, All_Payments!81:81)</f>
        <v>0</v>
      </c>
      <c r="K84" s="27">
        <f>SUMIF(All_Payments!$2:$2, K$5, All_Payments!81:81)</f>
        <v>0</v>
      </c>
      <c r="L84" s="27">
        <f>SUMIF(All_Payments!$2:$2, L$5, All_Payments!81:81)</f>
        <v>0</v>
      </c>
      <c r="M84" s="27">
        <f t="shared" si="1"/>
        <v>0</v>
      </c>
    </row>
    <row r="85" spans="5:13" x14ac:dyDescent="0.75">
      <c r="E85" s="43" t="s">
        <v>283</v>
      </c>
      <c r="F85" s="27">
        <f>SUMIF(All_Payments!$2:$2, F$5, All_Payments!82:82)</f>
        <v>0</v>
      </c>
      <c r="G85" s="27">
        <f>SUMIF(All_Payments!$2:$2, G$5, All_Payments!82:82)</f>
        <v>0</v>
      </c>
      <c r="H85" s="27">
        <f>SUMIF(All_Payments!$2:$2, H$5, All_Payments!82:82)</f>
        <v>0</v>
      </c>
      <c r="I85" s="27">
        <f>SUMIF(All_Payments!$2:$2, I$5, All_Payments!82:82)</f>
        <v>0</v>
      </c>
      <c r="J85" s="27">
        <f>SUMIF(All_Payments!$2:$2, J$5, All_Payments!82:82)</f>
        <v>0</v>
      </c>
      <c r="K85" s="27">
        <f>SUMIF(All_Payments!$2:$2, K$5, All_Payments!82:82)</f>
        <v>0</v>
      </c>
      <c r="L85" s="27">
        <f>SUMIF(All_Payments!$2:$2, L$5, All_Payments!82:82)</f>
        <v>0</v>
      </c>
      <c r="M85" s="27">
        <f t="shared" si="1"/>
        <v>0</v>
      </c>
    </row>
    <row r="86" spans="5:13" x14ac:dyDescent="0.75">
      <c r="E86" s="43" t="s">
        <v>284</v>
      </c>
      <c r="F86" s="27">
        <f>SUMIF(All_Payments!$2:$2, F$5, All_Payments!83:83)</f>
        <v>0</v>
      </c>
      <c r="G86" s="27">
        <f>SUMIF(All_Payments!$2:$2, G$5, All_Payments!83:83)</f>
        <v>0</v>
      </c>
      <c r="H86" s="27">
        <f>SUMIF(All_Payments!$2:$2, H$5, All_Payments!83:83)</f>
        <v>0</v>
      </c>
      <c r="I86" s="27">
        <f>SUMIF(All_Payments!$2:$2, I$5, All_Payments!83:83)</f>
        <v>0</v>
      </c>
      <c r="J86" s="27">
        <f>SUMIF(All_Payments!$2:$2, J$5, All_Payments!83:83)</f>
        <v>0</v>
      </c>
      <c r="K86" s="27">
        <f>SUMIF(All_Payments!$2:$2, K$5, All_Payments!83:83)</f>
        <v>0</v>
      </c>
      <c r="L86" s="27">
        <f>SUMIF(All_Payments!$2:$2, L$5, All_Payments!83:83)</f>
        <v>0</v>
      </c>
      <c r="M86" s="27">
        <f t="shared" si="1"/>
        <v>0</v>
      </c>
    </row>
    <row r="87" spans="5:13" x14ac:dyDescent="0.75">
      <c r="E87" s="43" t="s">
        <v>285</v>
      </c>
      <c r="F87" s="27">
        <f>SUMIF(All_Payments!$2:$2, F$5, All_Payments!84:84)</f>
        <v>0</v>
      </c>
      <c r="G87" s="27">
        <f>SUMIF(All_Payments!$2:$2, G$5, All_Payments!84:84)</f>
        <v>0</v>
      </c>
      <c r="H87" s="27">
        <f>SUMIF(All_Payments!$2:$2, H$5, All_Payments!84:84)</f>
        <v>0</v>
      </c>
      <c r="I87" s="27">
        <f>SUMIF(All_Payments!$2:$2, I$5, All_Payments!84:84)</f>
        <v>0</v>
      </c>
      <c r="J87" s="27">
        <f>SUMIF(All_Payments!$2:$2, J$5, All_Payments!84:84)</f>
        <v>0</v>
      </c>
      <c r="K87" s="27">
        <f>SUMIF(All_Payments!$2:$2, K$5, All_Payments!84:84)</f>
        <v>0</v>
      </c>
      <c r="L87" s="27">
        <f>SUMIF(All_Payments!$2:$2, L$5, All_Payments!84:84)</f>
        <v>0</v>
      </c>
      <c r="M87" s="27">
        <f t="shared" si="1"/>
        <v>0</v>
      </c>
    </row>
    <row r="88" spans="5:13" x14ac:dyDescent="0.75">
      <c r="E88" s="43" t="s">
        <v>286</v>
      </c>
      <c r="F88" s="27">
        <f>SUMIF(All_Payments!$2:$2, F$5, All_Payments!85:85)</f>
        <v>0</v>
      </c>
      <c r="G88" s="27">
        <f>SUMIF(All_Payments!$2:$2, G$5, All_Payments!85:85)</f>
        <v>0</v>
      </c>
      <c r="H88" s="27">
        <f>SUMIF(All_Payments!$2:$2, H$5, All_Payments!85:85)</f>
        <v>0</v>
      </c>
      <c r="I88" s="27">
        <f>SUMIF(All_Payments!$2:$2, I$5, All_Payments!85:85)</f>
        <v>0</v>
      </c>
      <c r="J88" s="27">
        <f>SUMIF(All_Payments!$2:$2, J$5, All_Payments!85:85)</f>
        <v>0</v>
      </c>
      <c r="K88" s="27">
        <f>SUMIF(All_Payments!$2:$2, K$5, All_Payments!85:85)</f>
        <v>0</v>
      </c>
      <c r="L88" s="27">
        <f>SUMIF(All_Payments!$2:$2, L$5, All_Payments!85:85)</f>
        <v>0</v>
      </c>
      <c r="M88" s="27">
        <f t="shared" si="1"/>
        <v>0</v>
      </c>
    </row>
    <row r="89" spans="5:13" x14ac:dyDescent="0.75">
      <c r="E89" s="43" t="s">
        <v>287</v>
      </c>
      <c r="F89" s="27">
        <f>SUMIF(All_Payments!$2:$2, F$5, All_Payments!86:86)</f>
        <v>0</v>
      </c>
      <c r="G89" s="27">
        <f>SUMIF(All_Payments!$2:$2, G$5, All_Payments!86:86)</f>
        <v>0</v>
      </c>
      <c r="H89" s="27">
        <f>SUMIF(All_Payments!$2:$2, H$5, All_Payments!86:86)</f>
        <v>0</v>
      </c>
      <c r="I89" s="27">
        <f>SUMIF(All_Payments!$2:$2, I$5, All_Payments!86:86)</f>
        <v>0</v>
      </c>
      <c r="J89" s="27">
        <f>SUMIF(All_Payments!$2:$2, J$5, All_Payments!86:86)</f>
        <v>0</v>
      </c>
      <c r="K89" s="27">
        <f>SUMIF(All_Payments!$2:$2, K$5, All_Payments!86:86)</f>
        <v>0</v>
      </c>
      <c r="L89" s="27">
        <f>SUMIF(All_Payments!$2:$2, L$5, All_Payments!86:86)</f>
        <v>0</v>
      </c>
      <c r="M89" s="27">
        <f t="shared" si="1"/>
        <v>0</v>
      </c>
    </row>
    <row r="90" spans="5:13" x14ac:dyDescent="0.75">
      <c r="E90" s="43" t="s">
        <v>288</v>
      </c>
      <c r="F90" s="27">
        <f>SUMIF(All_Payments!$2:$2, F$5, All_Payments!87:87)</f>
        <v>0</v>
      </c>
      <c r="G90" s="27">
        <f>SUMIF(All_Payments!$2:$2, G$5, All_Payments!87:87)</f>
        <v>0</v>
      </c>
      <c r="H90" s="27">
        <f>SUMIF(All_Payments!$2:$2, H$5, All_Payments!87:87)</f>
        <v>0</v>
      </c>
      <c r="I90" s="27">
        <f>SUMIF(All_Payments!$2:$2, I$5, All_Payments!87:87)</f>
        <v>0</v>
      </c>
      <c r="J90" s="27">
        <f>SUMIF(All_Payments!$2:$2, J$5, All_Payments!87:87)</f>
        <v>0</v>
      </c>
      <c r="K90" s="27">
        <f>SUMIF(All_Payments!$2:$2, K$5, All_Payments!87:87)</f>
        <v>0</v>
      </c>
      <c r="L90" s="27">
        <f>SUMIF(All_Payments!$2:$2, L$5, All_Payments!87:87)</f>
        <v>0</v>
      </c>
      <c r="M90" s="27">
        <f t="shared" si="1"/>
        <v>0</v>
      </c>
    </row>
    <row r="91" spans="5:13" x14ac:dyDescent="0.75">
      <c r="E91" s="43" t="s">
        <v>289</v>
      </c>
      <c r="F91" s="27">
        <f>SUMIF(All_Payments!$2:$2, F$5, All_Payments!88:88)</f>
        <v>0</v>
      </c>
      <c r="G91" s="27">
        <f>SUMIF(All_Payments!$2:$2, G$5, All_Payments!88:88)</f>
        <v>0</v>
      </c>
      <c r="H91" s="27">
        <f>SUMIF(All_Payments!$2:$2, H$5, All_Payments!88:88)</f>
        <v>0</v>
      </c>
      <c r="I91" s="27">
        <f>SUMIF(All_Payments!$2:$2, I$5, All_Payments!88:88)</f>
        <v>0</v>
      </c>
      <c r="J91" s="27">
        <f>SUMIF(All_Payments!$2:$2, J$5, All_Payments!88:88)</f>
        <v>0</v>
      </c>
      <c r="K91" s="27">
        <f>SUMIF(All_Payments!$2:$2, K$5, All_Payments!88:88)</f>
        <v>0</v>
      </c>
      <c r="L91" s="27">
        <f>SUMIF(All_Payments!$2:$2, L$5, All_Payments!88:88)</f>
        <v>0</v>
      </c>
      <c r="M91" s="27">
        <f t="shared" si="1"/>
        <v>0</v>
      </c>
    </row>
    <row r="92" spans="5:13" x14ac:dyDescent="0.75">
      <c r="E92" s="43" t="s">
        <v>290</v>
      </c>
      <c r="F92" s="27">
        <f>SUMIF(All_Payments!$2:$2, F$5, All_Payments!89:89)</f>
        <v>0</v>
      </c>
      <c r="G92" s="27">
        <f>SUMIF(All_Payments!$2:$2, G$5, All_Payments!89:89)</f>
        <v>0</v>
      </c>
      <c r="H92" s="27">
        <f>SUMIF(All_Payments!$2:$2, H$5, All_Payments!89:89)</f>
        <v>0</v>
      </c>
      <c r="I92" s="27">
        <f>SUMIF(All_Payments!$2:$2, I$5, All_Payments!89:89)</f>
        <v>0</v>
      </c>
      <c r="J92" s="27">
        <f>SUMIF(All_Payments!$2:$2, J$5, All_Payments!89:89)</f>
        <v>0</v>
      </c>
      <c r="K92" s="27">
        <f>SUMIF(All_Payments!$2:$2, K$5, All_Payments!89:89)</f>
        <v>0</v>
      </c>
      <c r="L92" s="27">
        <f>SUMIF(All_Payments!$2:$2, L$5, All_Payments!89:89)</f>
        <v>0</v>
      </c>
      <c r="M92" s="27">
        <f t="shared" si="1"/>
        <v>0</v>
      </c>
    </row>
    <row r="93" spans="5:13" x14ac:dyDescent="0.75">
      <c r="E93" s="43" t="s">
        <v>291</v>
      </c>
      <c r="F93" s="27">
        <f>SUMIF(All_Payments!$2:$2, F$5, All_Payments!90:90)</f>
        <v>0</v>
      </c>
      <c r="G93" s="27">
        <f>SUMIF(All_Payments!$2:$2, G$5, All_Payments!90:90)</f>
        <v>0</v>
      </c>
      <c r="H93" s="27">
        <f>SUMIF(All_Payments!$2:$2, H$5, All_Payments!90:90)</f>
        <v>0</v>
      </c>
      <c r="I93" s="27">
        <f>SUMIF(All_Payments!$2:$2, I$5, All_Payments!90:90)</f>
        <v>0</v>
      </c>
      <c r="J93" s="27">
        <f>SUMIF(All_Payments!$2:$2, J$5, All_Payments!90:90)</f>
        <v>0</v>
      </c>
      <c r="K93" s="27">
        <f>SUMIF(All_Payments!$2:$2, K$5, All_Payments!90:90)</f>
        <v>0</v>
      </c>
      <c r="L93" s="27">
        <f>SUMIF(All_Payments!$2:$2, L$5, All_Payments!90:90)</f>
        <v>0</v>
      </c>
      <c r="M93" s="27">
        <f t="shared" si="1"/>
        <v>0</v>
      </c>
    </row>
    <row r="94" spans="5:13" x14ac:dyDescent="0.75">
      <c r="E94" s="43" t="s">
        <v>292</v>
      </c>
      <c r="F94" s="27">
        <f>SUMIF(All_Payments!$2:$2, F$5, All_Payments!91:91)</f>
        <v>0</v>
      </c>
      <c r="G94" s="27">
        <f>SUMIF(All_Payments!$2:$2, G$5, All_Payments!91:91)</f>
        <v>0</v>
      </c>
      <c r="H94" s="27">
        <f>SUMIF(All_Payments!$2:$2, H$5, All_Payments!91:91)</f>
        <v>0</v>
      </c>
      <c r="I94" s="27">
        <f>SUMIF(All_Payments!$2:$2, I$5, All_Payments!91:91)</f>
        <v>0</v>
      </c>
      <c r="J94" s="27">
        <f>SUMIF(All_Payments!$2:$2, J$5, All_Payments!91:91)</f>
        <v>0</v>
      </c>
      <c r="K94" s="27">
        <f>SUMIF(All_Payments!$2:$2, K$5, All_Payments!91:91)</f>
        <v>0</v>
      </c>
      <c r="L94" s="27">
        <f>SUMIF(All_Payments!$2:$2, L$5, All_Payments!91:91)</f>
        <v>0</v>
      </c>
      <c r="M94" s="27">
        <f t="shared" si="1"/>
        <v>0</v>
      </c>
    </row>
    <row r="95" spans="5:13" x14ac:dyDescent="0.75">
      <c r="E95" s="43" t="s">
        <v>293</v>
      </c>
      <c r="F95" s="27">
        <f>SUMIF(All_Payments!$2:$2, F$5, All_Payments!92:92)</f>
        <v>0</v>
      </c>
      <c r="G95" s="27">
        <f>SUMIF(All_Payments!$2:$2, G$5, All_Payments!92:92)</f>
        <v>0</v>
      </c>
      <c r="H95" s="27">
        <f>SUMIF(All_Payments!$2:$2, H$5, All_Payments!92:92)</f>
        <v>0</v>
      </c>
      <c r="I95" s="27">
        <f>SUMIF(All_Payments!$2:$2, I$5, All_Payments!92:92)</f>
        <v>0</v>
      </c>
      <c r="J95" s="27">
        <f>SUMIF(All_Payments!$2:$2, J$5, All_Payments!92:92)</f>
        <v>0</v>
      </c>
      <c r="K95" s="27">
        <f>SUMIF(All_Payments!$2:$2, K$5, All_Payments!92:92)</f>
        <v>0</v>
      </c>
      <c r="L95" s="27">
        <f>SUMIF(All_Payments!$2:$2, L$5, All_Payments!92:92)</f>
        <v>0</v>
      </c>
      <c r="M95" s="27">
        <f t="shared" si="1"/>
        <v>0</v>
      </c>
    </row>
    <row r="96" spans="5:13" x14ac:dyDescent="0.75">
      <c r="E96" s="43" t="s">
        <v>294</v>
      </c>
      <c r="F96" s="27">
        <f>SUMIF(All_Payments!$2:$2, F$5, All_Payments!93:93)</f>
        <v>0</v>
      </c>
      <c r="G96" s="27">
        <f>SUMIF(All_Payments!$2:$2, G$5, All_Payments!93:93)</f>
        <v>0</v>
      </c>
      <c r="H96" s="27">
        <f>SUMIF(All_Payments!$2:$2, H$5, All_Payments!93:93)</f>
        <v>0</v>
      </c>
      <c r="I96" s="27">
        <f>SUMIF(All_Payments!$2:$2, I$5, All_Payments!93:93)</f>
        <v>0</v>
      </c>
      <c r="J96" s="27">
        <f>SUMIF(All_Payments!$2:$2, J$5, All_Payments!93:93)</f>
        <v>0</v>
      </c>
      <c r="K96" s="27">
        <f>SUMIF(All_Payments!$2:$2, K$5, All_Payments!93:93)</f>
        <v>0</v>
      </c>
      <c r="L96" s="27">
        <f>SUMIF(All_Payments!$2:$2, L$5, All_Payments!93:93)</f>
        <v>0</v>
      </c>
      <c r="M96" s="27">
        <f t="shared" si="1"/>
        <v>0</v>
      </c>
    </row>
    <row r="97" spans="5:13" x14ac:dyDescent="0.75">
      <c r="E97" s="43" t="s">
        <v>295</v>
      </c>
      <c r="F97" s="27">
        <f>SUMIF(All_Payments!$2:$2, F$5, All_Payments!94:94)</f>
        <v>0</v>
      </c>
      <c r="G97" s="27">
        <f>SUMIF(All_Payments!$2:$2, G$5, All_Payments!94:94)</f>
        <v>0</v>
      </c>
      <c r="H97" s="27">
        <f>SUMIF(All_Payments!$2:$2, H$5, All_Payments!94:94)</f>
        <v>0</v>
      </c>
      <c r="I97" s="27">
        <f>SUMIF(All_Payments!$2:$2, I$5, All_Payments!94:94)</f>
        <v>0</v>
      </c>
      <c r="J97" s="27">
        <f>SUMIF(All_Payments!$2:$2, J$5, All_Payments!94:94)</f>
        <v>0</v>
      </c>
      <c r="K97" s="27">
        <f>SUMIF(All_Payments!$2:$2, K$5, All_Payments!94:94)</f>
        <v>0</v>
      </c>
      <c r="L97" s="27">
        <f>SUMIF(All_Payments!$2:$2, L$5, All_Payments!94:94)</f>
        <v>0</v>
      </c>
      <c r="M97" s="27">
        <f t="shared" si="1"/>
        <v>0</v>
      </c>
    </row>
    <row r="98" spans="5:13" x14ac:dyDescent="0.75">
      <c r="E98" s="43" t="s">
        <v>296</v>
      </c>
      <c r="F98" s="27">
        <f>SUMIF(All_Payments!$2:$2, F$5, All_Payments!95:95)</f>
        <v>0</v>
      </c>
      <c r="G98" s="27">
        <f>SUMIF(All_Payments!$2:$2, G$5, All_Payments!95:95)</f>
        <v>0</v>
      </c>
      <c r="H98" s="27">
        <f>SUMIF(All_Payments!$2:$2, H$5, All_Payments!95:95)</f>
        <v>0</v>
      </c>
      <c r="I98" s="27">
        <f>SUMIF(All_Payments!$2:$2, I$5, All_Payments!95:95)</f>
        <v>0</v>
      </c>
      <c r="J98" s="27">
        <f>SUMIF(All_Payments!$2:$2, J$5, All_Payments!95:95)</f>
        <v>0</v>
      </c>
      <c r="K98" s="27">
        <f>SUMIF(All_Payments!$2:$2, K$5, All_Payments!95:95)</f>
        <v>0</v>
      </c>
      <c r="L98" s="27">
        <f>SUMIF(All_Payments!$2:$2, L$5, All_Payments!95:95)</f>
        <v>0</v>
      </c>
      <c r="M98" s="27">
        <f t="shared" si="1"/>
        <v>0</v>
      </c>
    </row>
    <row r="99" spans="5:13" x14ac:dyDescent="0.75">
      <c r="E99" s="43" t="s">
        <v>297</v>
      </c>
      <c r="F99" s="27">
        <f>SUMIF(All_Payments!$2:$2, F$5, All_Payments!96:96)</f>
        <v>0</v>
      </c>
      <c r="G99" s="27">
        <f>SUMIF(All_Payments!$2:$2, G$5, All_Payments!96:96)</f>
        <v>0</v>
      </c>
      <c r="H99" s="27">
        <f>SUMIF(All_Payments!$2:$2, H$5, All_Payments!96:96)</f>
        <v>0</v>
      </c>
      <c r="I99" s="27">
        <f>SUMIF(All_Payments!$2:$2, I$5, All_Payments!96:96)</f>
        <v>0</v>
      </c>
      <c r="J99" s="27">
        <f>SUMIF(All_Payments!$2:$2, J$5, All_Payments!96:96)</f>
        <v>0</v>
      </c>
      <c r="K99" s="27">
        <f>SUMIF(All_Payments!$2:$2, K$5, All_Payments!96:96)</f>
        <v>0</v>
      </c>
      <c r="L99" s="27">
        <f>SUMIF(All_Payments!$2:$2, L$5, All_Payments!96:96)</f>
        <v>0</v>
      </c>
      <c r="M99" s="27">
        <f t="shared" si="1"/>
        <v>0</v>
      </c>
    </row>
    <row r="100" spans="5:13" x14ac:dyDescent="0.75">
      <c r="E100" s="43" t="s">
        <v>298</v>
      </c>
      <c r="F100" s="27">
        <f>SUMIF(All_Payments!$2:$2, F$5, All_Payments!97:97)</f>
        <v>0</v>
      </c>
      <c r="G100" s="27">
        <f>SUMIF(All_Payments!$2:$2, G$5, All_Payments!97:97)</f>
        <v>0</v>
      </c>
      <c r="H100" s="27">
        <f>SUMIF(All_Payments!$2:$2, H$5, All_Payments!97:97)</f>
        <v>0</v>
      </c>
      <c r="I100" s="27">
        <f>SUMIF(All_Payments!$2:$2, I$5, All_Payments!97:97)</f>
        <v>0</v>
      </c>
      <c r="J100" s="27">
        <f>SUMIF(All_Payments!$2:$2, J$5, All_Payments!97:97)</f>
        <v>0</v>
      </c>
      <c r="K100" s="27">
        <f>SUMIF(All_Payments!$2:$2, K$5, All_Payments!97:97)</f>
        <v>0</v>
      </c>
      <c r="L100" s="27">
        <f>SUMIF(All_Payments!$2:$2, L$5, All_Payments!97:97)</f>
        <v>0</v>
      </c>
      <c r="M100" s="27">
        <f t="shared" si="1"/>
        <v>0</v>
      </c>
    </row>
    <row r="101" spans="5:13" x14ac:dyDescent="0.75">
      <c r="E101" s="43" t="s">
        <v>299</v>
      </c>
      <c r="F101" s="27">
        <f>SUMIF(All_Payments!$2:$2, F$5, All_Payments!98:98)</f>
        <v>0</v>
      </c>
      <c r="G101" s="27">
        <f>SUMIF(All_Payments!$2:$2, G$5, All_Payments!98:98)</f>
        <v>0</v>
      </c>
      <c r="H101" s="27">
        <f>SUMIF(All_Payments!$2:$2, H$5, All_Payments!98:98)</f>
        <v>0</v>
      </c>
      <c r="I101" s="27">
        <f>SUMIF(All_Payments!$2:$2, I$5, All_Payments!98:98)</f>
        <v>0</v>
      </c>
      <c r="J101" s="27">
        <f>SUMIF(All_Payments!$2:$2, J$5, All_Payments!98:98)</f>
        <v>0</v>
      </c>
      <c r="K101" s="27">
        <f>SUMIF(All_Payments!$2:$2, K$5, All_Payments!98:98)</f>
        <v>0</v>
      </c>
      <c r="L101" s="27">
        <f>SUMIF(All_Payments!$2:$2, L$5, All_Payments!98:98)</f>
        <v>0</v>
      </c>
      <c r="M101" s="27">
        <f t="shared" si="1"/>
        <v>0</v>
      </c>
    </row>
    <row r="102" spans="5:13" x14ac:dyDescent="0.75">
      <c r="E102" s="43" t="s">
        <v>300</v>
      </c>
      <c r="F102" s="27">
        <f>SUMIF(All_Payments!$2:$2, F$5, All_Payments!99:99)</f>
        <v>0</v>
      </c>
      <c r="G102" s="27">
        <f>SUMIF(All_Payments!$2:$2, G$5, All_Payments!99:99)</f>
        <v>0</v>
      </c>
      <c r="H102" s="27">
        <f>SUMIF(All_Payments!$2:$2, H$5, All_Payments!99:99)</f>
        <v>0</v>
      </c>
      <c r="I102" s="27">
        <f>SUMIF(All_Payments!$2:$2, I$5, All_Payments!99:99)</f>
        <v>0</v>
      </c>
      <c r="J102" s="27">
        <f>SUMIF(All_Payments!$2:$2, J$5, All_Payments!99:99)</f>
        <v>0</v>
      </c>
      <c r="K102" s="27">
        <f>SUMIF(All_Payments!$2:$2, K$5, All_Payments!99:99)</f>
        <v>0</v>
      </c>
      <c r="L102" s="27">
        <f>SUMIF(All_Payments!$2:$2, L$5, All_Payments!99:99)</f>
        <v>0</v>
      </c>
      <c r="M102" s="27">
        <f t="shared" si="1"/>
        <v>0</v>
      </c>
    </row>
    <row r="103" spans="5:13" x14ac:dyDescent="0.75">
      <c r="E103" s="43" t="s">
        <v>301</v>
      </c>
      <c r="F103" s="27">
        <f>SUMIF(All_Payments!$2:$2, F$5, All_Payments!100:100)</f>
        <v>0</v>
      </c>
      <c r="G103" s="27">
        <f>SUMIF(All_Payments!$2:$2, G$5, All_Payments!100:100)</f>
        <v>0</v>
      </c>
      <c r="H103" s="27">
        <f>SUMIF(All_Payments!$2:$2, H$5, All_Payments!100:100)</f>
        <v>0</v>
      </c>
      <c r="I103" s="27">
        <f>SUMIF(All_Payments!$2:$2, I$5, All_Payments!100:100)</f>
        <v>0</v>
      </c>
      <c r="J103" s="27">
        <f>SUMIF(All_Payments!$2:$2, J$5, All_Payments!100:100)</f>
        <v>0</v>
      </c>
      <c r="K103" s="27">
        <f>SUMIF(All_Payments!$2:$2, K$5, All_Payments!100:100)</f>
        <v>0</v>
      </c>
      <c r="L103" s="27">
        <f>SUMIF(All_Payments!$2:$2, L$5, All_Payments!100:100)</f>
        <v>0</v>
      </c>
      <c r="M103" s="27">
        <f t="shared" si="1"/>
        <v>0</v>
      </c>
    </row>
    <row r="104" spans="5:13" x14ac:dyDescent="0.75">
      <c r="E104" s="43" t="s">
        <v>302</v>
      </c>
      <c r="F104" s="27">
        <f>SUMIF(All_Payments!$2:$2, F$5, All_Payments!101:101)</f>
        <v>0</v>
      </c>
      <c r="G104" s="27">
        <f>SUMIF(All_Payments!$2:$2, G$5, All_Payments!101:101)</f>
        <v>0</v>
      </c>
      <c r="H104" s="27">
        <f>SUMIF(All_Payments!$2:$2, H$5, All_Payments!101:101)</f>
        <v>0</v>
      </c>
      <c r="I104" s="27">
        <f>SUMIF(All_Payments!$2:$2, I$5, All_Payments!101:101)</f>
        <v>0</v>
      </c>
      <c r="J104" s="27">
        <f>SUMIF(All_Payments!$2:$2, J$5, All_Payments!101:101)</f>
        <v>0</v>
      </c>
      <c r="K104" s="27">
        <f>SUMIF(All_Payments!$2:$2, K$5, All_Payments!101:101)</f>
        <v>0</v>
      </c>
      <c r="L104" s="27">
        <f>SUMIF(All_Payments!$2:$2, L$5, All_Payments!101:101)</f>
        <v>0</v>
      </c>
      <c r="M104" s="27">
        <f t="shared" si="1"/>
        <v>0</v>
      </c>
    </row>
    <row r="105" spans="5:13" x14ac:dyDescent="0.75">
      <c r="E105" s="43" t="s">
        <v>303</v>
      </c>
      <c r="F105" s="27">
        <f>SUMIF(All_Payments!$2:$2, F$5, All_Payments!102:102)</f>
        <v>0</v>
      </c>
      <c r="G105" s="27">
        <f>SUMIF(All_Payments!$2:$2, G$5, All_Payments!102:102)</f>
        <v>0</v>
      </c>
      <c r="H105" s="27">
        <f>SUMIF(All_Payments!$2:$2, H$5, All_Payments!102:102)</f>
        <v>0</v>
      </c>
      <c r="I105" s="27">
        <f>SUMIF(All_Payments!$2:$2, I$5, All_Payments!102:102)</f>
        <v>0</v>
      </c>
      <c r="J105" s="27">
        <f>SUMIF(All_Payments!$2:$2, J$5, All_Payments!102:102)</f>
        <v>0</v>
      </c>
      <c r="K105" s="27">
        <f>SUMIF(All_Payments!$2:$2, K$5, All_Payments!102:102)</f>
        <v>0</v>
      </c>
      <c r="L105" s="27">
        <f>SUMIF(All_Payments!$2:$2, L$5, All_Payments!102:102)</f>
        <v>0</v>
      </c>
      <c r="M105" s="27">
        <f t="shared" si="1"/>
        <v>0</v>
      </c>
    </row>
  </sheetData>
  <mergeCells count="2">
    <mergeCell ref="B3:C3"/>
    <mergeCell ref="E3:G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workbookViewId="0">
      <selection activeCell="M17" sqref="M17"/>
    </sheetView>
  </sheetViews>
  <sheetFormatPr defaultRowHeight="14.75" x14ac:dyDescent="0.75"/>
  <cols>
    <col min="1" max="16384" width="8.7265625" style="30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Illustration_Calculator</vt:lpstr>
      <vt:lpstr>Plan_Calculations</vt:lpstr>
      <vt:lpstr>Block_of_Business</vt:lpstr>
      <vt:lpstr>All_Payments</vt:lpstr>
      <vt:lpstr>Summaries</vt:lpstr>
      <vt:lpstr>Graphs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Mai Quoc Huy</dc:creator>
  <cp:lastModifiedBy>Mai Quoc Huy</cp:lastModifiedBy>
  <dcterms:created xsi:type="dcterms:W3CDTF">2024-09-19T04:34:07Z</dcterms:created>
  <dcterms:modified xsi:type="dcterms:W3CDTF">2024-09-30T15:43:54Z</dcterms:modified>
</cp:coreProperties>
</file>