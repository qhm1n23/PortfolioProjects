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0af9a738a40f12f/Desktop/"/>
    </mc:Choice>
  </mc:AlternateContent>
  <xr:revisionPtr revIDLastSave="13888" documentId="8_{3A85DA31-820C-4033-9473-B99DAD49D180}" xr6:coauthVersionLast="47" xr6:coauthVersionMax="47" xr10:uidLastSave="{22793FD4-FF42-4645-9A01-90770BD3A077}"/>
  <bookViews>
    <workbookView xWindow="-90" yWindow="-90" windowWidth="17460" windowHeight="10260" xr2:uid="{00000000-000D-0000-FFFF-FFFF00000000}"/>
  </bookViews>
  <sheets>
    <sheet name="Projected_Claims_Tool" sheetId="1" r:id="rId1"/>
    <sheet name="Policyholder_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" i="1" l="1"/>
  <c r="I18" i="1"/>
  <c r="H18" i="1"/>
  <c r="G18" i="1"/>
  <c r="F18" i="1"/>
  <c r="G16" i="1"/>
  <c r="H16" i="1" s="1"/>
  <c r="I16" i="1" s="1"/>
  <c r="J16" i="1" s="1"/>
  <c r="F4" i="1"/>
  <c r="F5" i="1" s="1"/>
  <c r="G4" i="1"/>
  <c r="G5" i="1" s="1"/>
  <c r="H4" i="1"/>
  <c r="I4" i="1"/>
  <c r="J4" i="1"/>
  <c r="K4" i="1"/>
  <c r="L4" i="1"/>
  <c r="M4" i="1"/>
  <c r="M5" i="1" s="1"/>
  <c r="N4" i="1"/>
  <c r="N5" i="1" s="1"/>
  <c r="O4" i="1"/>
  <c r="O5" i="1" s="1"/>
  <c r="P4" i="1"/>
  <c r="Q4" i="1"/>
  <c r="R4" i="1"/>
  <c r="S4" i="1"/>
  <c r="T4" i="1"/>
  <c r="U4" i="1"/>
  <c r="U5" i="1" s="1"/>
  <c r="V4" i="1"/>
  <c r="V5" i="1" s="1"/>
  <c r="W4" i="1"/>
  <c r="W5" i="1" s="1"/>
  <c r="X4" i="1"/>
  <c r="Y4" i="1"/>
  <c r="Z4" i="1"/>
  <c r="AA4" i="1"/>
  <c r="AB4" i="1"/>
  <c r="AC4" i="1"/>
  <c r="AC5" i="1" s="1"/>
  <c r="AD4" i="1"/>
  <c r="AD5" i="1" s="1"/>
  <c r="AB5" i="1" l="1"/>
  <c r="L5" i="1"/>
  <c r="S5" i="1"/>
  <c r="K5" i="1"/>
  <c r="T5" i="1"/>
  <c r="AA5" i="1"/>
  <c r="Z5" i="1"/>
  <c r="R5" i="1"/>
  <c r="J5" i="1"/>
  <c r="I5" i="1"/>
  <c r="Y5" i="1"/>
  <c r="Q5" i="1"/>
  <c r="X5" i="1"/>
  <c r="P5" i="1"/>
  <c r="H5" i="1"/>
  <c r="F6" i="1" l="1"/>
</calcChain>
</file>

<file path=xl/sharedStrings.xml><?xml version="1.0" encoding="utf-8"?>
<sst xmlns="http://schemas.openxmlformats.org/spreadsheetml/2006/main" count="426" uniqueCount="219">
  <si>
    <t>Gender</t>
  </si>
  <si>
    <t>Female</t>
  </si>
  <si>
    <t>Age</t>
  </si>
  <si>
    <t>Condition</t>
  </si>
  <si>
    <t>Healthy</t>
  </si>
  <si>
    <t>Inputs</t>
  </si>
  <si>
    <t>Policy Year</t>
  </si>
  <si>
    <t>Age Category</t>
  </si>
  <si>
    <t>Projected Claims</t>
  </si>
  <si>
    <t>Claim Projects</t>
  </si>
  <si>
    <t>References</t>
  </si>
  <si>
    <t>Avg Claim Amount</t>
  </si>
  <si>
    <t>Male</t>
  </si>
  <si>
    <t>Health Condition</t>
  </si>
  <si>
    <t>Unhealthy</t>
  </si>
  <si>
    <t>Total Projected Claims</t>
  </si>
  <si>
    <t>Name</t>
  </si>
  <si>
    <t>Policyholder #1</t>
  </si>
  <si>
    <t>Policyholder #2</t>
  </si>
  <si>
    <t>Policyholder #3</t>
  </si>
  <si>
    <t>Policyholder #4</t>
  </si>
  <si>
    <t>Policyholder #5</t>
  </si>
  <si>
    <t>Policyholder #6</t>
  </si>
  <si>
    <t>Policyholder #7</t>
  </si>
  <si>
    <t>Policyholder #8</t>
  </si>
  <si>
    <t>Policyholder #9</t>
  </si>
  <si>
    <t>Policyholder #10</t>
  </si>
  <si>
    <t>Policyholder #11</t>
  </si>
  <si>
    <t>Policyholder #12</t>
  </si>
  <si>
    <t>Policyholder #13</t>
  </si>
  <si>
    <t>Policyholder #14</t>
  </si>
  <si>
    <t>Policyholder #15</t>
  </si>
  <si>
    <t>Policyholder #16</t>
  </si>
  <si>
    <t>Policyholder #17</t>
  </si>
  <si>
    <t>Policyholder #18</t>
  </si>
  <si>
    <t>Policyholder #19</t>
  </si>
  <si>
    <t>Policyholder #20</t>
  </si>
  <si>
    <t>Policyholder #21</t>
  </si>
  <si>
    <t>Policyholder #22</t>
  </si>
  <si>
    <t>Policyholder #23</t>
  </si>
  <si>
    <t>Policyholder #24</t>
  </si>
  <si>
    <t>Policyholder #25</t>
  </si>
  <si>
    <t>Policyholder #26</t>
  </si>
  <si>
    <t>Policyholder #27</t>
  </si>
  <si>
    <t>Policyholder #28</t>
  </si>
  <si>
    <t>Policyholder #29</t>
  </si>
  <si>
    <t>Policyholder #30</t>
  </si>
  <si>
    <t>Policyholder #31</t>
  </si>
  <si>
    <t>Policyholder #32</t>
  </si>
  <si>
    <t>Policyholder #33</t>
  </si>
  <si>
    <t>Policyholder #34</t>
  </si>
  <si>
    <t>Policyholder #35</t>
  </si>
  <si>
    <t>Policyholder #36</t>
  </si>
  <si>
    <t>Policyholder #37</t>
  </si>
  <si>
    <t>Policyholder #38</t>
  </si>
  <si>
    <t>Policyholder #39</t>
  </si>
  <si>
    <t>Policyholder #40</t>
  </si>
  <si>
    <t>Policyholder #41</t>
  </si>
  <si>
    <t>Policyholder #42</t>
  </si>
  <si>
    <t>Policyholder #43</t>
  </si>
  <si>
    <t>Policyholder #44</t>
  </si>
  <si>
    <t>Policyholder #45</t>
  </si>
  <si>
    <t>Policyholder #46</t>
  </si>
  <si>
    <t>Policyholder #47</t>
  </si>
  <si>
    <t>Policyholder #48</t>
  </si>
  <si>
    <t>Policyholder #49</t>
  </si>
  <si>
    <t>Policyholder #50</t>
  </si>
  <si>
    <t>Policyholder #51</t>
  </si>
  <si>
    <t>Policyholder #52</t>
  </si>
  <si>
    <t>Policyholder #53</t>
  </si>
  <si>
    <t>Policyholder #54</t>
  </si>
  <si>
    <t>Policyholder #55</t>
  </si>
  <si>
    <t>Policyholder #56</t>
  </si>
  <si>
    <t>Policyholder #57</t>
  </si>
  <si>
    <t>Policyholder #58</t>
  </si>
  <si>
    <t>Policyholder #59</t>
  </si>
  <si>
    <t>Policyholder #60</t>
  </si>
  <si>
    <t>Policyholder #61</t>
  </si>
  <si>
    <t>Policyholder #62</t>
  </si>
  <si>
    <t>Policyholder #63</t>
  </si>
  <si>
    <t>Policyholder #64</t>
  </si>
  <si>
    <t>Policyholder #65</t>
  </si>
  <si>
    <t>Policyholder #66</t>
  </si>
  <si>
    <t>Policyholder #67</t>
  </si>
  <si>
    <t>Policyholder #68</t>
  </si>
  <si>
    <t>Policyholder #69</t>
  </si>
  <si>
    <t>Policyholder #70</t>
  </si>
  <si>
    <t>Policyholder #71</t>
  </si>
  <si>
    <t>Policyholder #72</t>
  </si>
  <si>
    <t>Policyholder #73</t>
  </si>
  <si>
    <t>Policyholder #74</t>
  </si>
  <si>
    <t>Policyholder #75</t>
  </si>
  <si>
    <t>Policyholder #76</t>
  </si>
  <si>
    <t>Policyholder #77</t>
  </si>
  <si>
    <t>Policyholder #78</t>
  </si>
  <si>
    <t>Policyholder #79</t>
  </si>
  <si>
    <t>Policyholder #80</t>
  </si>
  <si>
    <t>Policyholder #81</t>
  </si>
  <si>
    <t>Policyholder #82</t>
  </si>
  <si>
    <t>Policyholder #83</t>
  </si>
  <si>
    <t>Policyholder #84</t>
  </si>
  <si>
    <t>Policyholder #85</t>
  </si>
  <si>
    <t>Policyholder #86</t>
  </si>
  <si>
    <t>Policyholder #87</t>
  </si>
  <si>
    <t>Policyholder #88</t>
  </si>
  <si>
    <t>Policyholder #89</t>
  </si>
  <si>
    <t>Policyholder #90</t>
  </si>
  <si>
    <t>Policyholder #91</t>
  </si>
  <si>
    <t>Policyholder #92</t>
  </si>
  <si>
    <t>Policyholder #93</t>
  </si>
  <si>
    <t>Policyholder #94</t>
  </si>
  <si>
    <t>Policyholder #95</t>
  </si>
  <si>
    <t>Policyholder #96</t>
  </si>
  <si>
    <t>Policyholder #97</t>
  </si>
  <si>
    <t>Policyholder #98</t>
  </si>
  <si>
    <t>Policyholder #99</t>
  </si>
  <si>
    <t>Policyholder #100</t>
  </si>
  <si>
    <t>Total projected claims</t>
  </si>
  <si>
    <t>Age 
Bracket</t>
  </si>
  <si>
    <t>Policyholder #101</t>
  </si>
  <si>
    <t>Policyholder #102</t>
  </si>
  <si>
    <t>Policyholder #103</t>
  </si>
  <si>
    <t>Policyholder #104</t>
  </si>
  <si>
    <t>Policyholder #105</t>
  </si>
  <si>
    <t>Policyholder #106</t>
  </si>
  <si>
    <t>Policyholder #107</t>
  </si>
  <si>
    <t>Policyholder #108</t>
  </si>
  <si>
    <t>Policyholder #109</t>
  </si>
  <si>
    <t>Policyholder #110</t>
  </si>
  <si>
    <t>Policyholder #111</t>
  </si>
  <si>
    <t>Policyholder #112</t>
  </si>
  <si>
    <t>Policyholder #113</t>
  </si>
  <si>
    <t>Policyholder #114</t>
  </si>
  <si>
    <t>Policyholder #115</t>
  </si>
  <si>
    <t>Policyholder #116</t>
  </si>
  <si>
    <t>Policyholder #117</t>
  </si>
  <si>
    <t>Policyholder #118</t>
  </si>
  <si>
    <t>Policyholder #119</t>
  </si>
  <si>
    <t>Policyholder #120</t>
  </si>
  <si>
    <t>Policyholder #121</t>
  </si>
  <si>
    <t>Policyholder #122</t>
  </si>
  <si>
    <t>Policyholder #123</t>
  </si>
  <si>
    <t>Policyholder #124</t>
  </si>
  <si>
    <t>Policyholder #125</t>
  </si>
  <si>
    <t>Policyholder #126</t>
  </si>
  <si>
    <t>Policyholder #127</t>
  </si>
  <si>
    <t>Policyholder #128</t>
  </si>
  <si>
    <t>Policyholder #129</t>
  </si>
  <si>
    <t>Policyholder #130</t>
  </si>
  <si>
    <t>Policyholder #131</t>
  </si>
  <si>
    <t>Policyholder #132</t>
  </si>
  <si>
    <t>Policyholder #133</t>
  </si>
  <si>
    <t>Policyholder #134</t>
  </si>
  <si>
    <t>Policyholder #135</t>
  </si>
  <si>
    <t>Policyholder #136</t>
  </si>
  <si>
    <t>Policyholder #137</t>
  </si>
  <si>
    <t>Policyholder #138</t>
  </si>
  <si>
    <t>Policyholder #139</t>
  </si>
  <si>
    <t>Policyholder #140</t>
  </si>
  <si>
    <t>Policyholder #141</t>
  </si>
  <si>
    <t>Policyholder #142</t>
  </si>
  <si>
    <t>Policyholder #143</t>
  </si>
  <si>
    <t>Policyholder #144</t>
  </si>
  <si>
    <t>Policyholder #145</t>
  </si>
  <si>
    <t>Policyholder #146</t>
  </si>
  <si>
    <t>Policyholder #147</t>
  </si>
  <si>
    <t>Policyholder #148</t>
  </si>
  <si>
    <t>Policyholder #149</t>
  </si>
  <si>
    <t>Policyholder #150</t>
  </si>
  <si>
    <t>Policyholder #151</t>
  </si>
  <si>
    <t>Policyholder #152</t>
  </si>
  <si>
    <t>Policyholder #153</t>
  </si>
  <si>
    <t>Policyholder #154</t>
  </si>
  <si>
    <t>Policyholder #155</t>
  </si>
  <si>
    <t>Policyholder #156</t>
  </si>
  <si>
    <t>Policyholder #157</t>
  </si>
  <si>
    <t>Policyholder #158</t>
  </si>
  <si>
    <t>Policyholder #159</t>
  </si>
  <si>
    <t>Policyholder #160</t>
  </si>
  <si>
    <t>Policyholder #161</t>
  </si>
  <si>
    <t>Policyholder #162</t>
  </si>
  <si>
    <t>Policyholder #163</t>
  </si>
  <si>
    <t>Policyholder #164</t>
  </si>
  <si>
    <t>Policyholder #165</t>
  </si>
  <si>
    <t>Policyholder #166</t>
  </si>
  <si>
    <t>Policyholder #167</t>
  </si>
  <si>
    <t>Policyholder #168</t>
  </si>
  <si>
    <t>Policyholder #169</t>
  </si>
  <si>
    <t>Policyholder #170</t>
  </si>
  <si>
    <t>Policyholder #171</t>
  </si>
  <si>
    <t>Policyholder #172</t>
  </si>
  <si>
    <t>Policyholder #173</t>
  </si>
  <si>
    <t>Policyholder #174</t>
  </si>
  <si>
    <t>Policyholder #175</t>
  </si>
  <si>
    <t>Policyholder #176</t>
  </si>
  <si>
    <t>Policyholder #177</t>
  </si>
  <si>
    <t>Policyholder #178</t>
  </si>
  <si>
    <t>Policyholder #179</t>
  </si>
  <si>
    <t>Policyholder #180</t>
  </si>
  <si>
    <t>Policyholder #181</t>
  </si>
  <si>
    <t>Policyholder #182</t>
  </si>
  <si>
    <t>Policyholder #183</t>
  </si>
  <si>
    <t>Policyholder #184</t>
  </si>
  <si>
    <t>Policyholder #185</t>
  </si>
  <si>
    <t>Policyholder #186</t>
  </si>
  <si>
    <t>Policyholder #187</t>
  </si>
  <si>
    <t>Policyholder #188</t>
  </si>
  <si>
    <t>Policyholder #189</t>
  </si>
  <si>
    <t>Policyholder #190</t>
  </si>
  <si>
    <t>Policyholder #191</t>
  </si>
  <si>
    <t>Policyholder #192</t>
  </si>
  <si>
    <t>Policyholder #193</t>
  </si>
  <si>
    <t>Policyholder #194</t>
  </si>
  <si>
    <t>Policyholder #195</t>
  </si>
  <si>
    <t>Policyholder #196</t>
  </si>
  <si>
    <t>Policyholder #197</t>
  </si>
  <si>
    <t>Policyholder #198</t>
  </si>
  <si>
    <t>Policyholder #199</t>
  </si>
  <si>
    <t>Policyholder #200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</si>
</sst>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3"/>
      <color theme="1"/>
      <name val="Arial"/>
      <family val="2"/>
    </font>
    <font>
      <b/>
      <sz val="15"/>
      <color theme="1"/>
      <name val="Arial"/>
      <family val="2"/>
    </font>
    <font>
      <b/>
      <i/>
      <sz val="11"/>
      <color theme="1"/>
      <name val="Arial"/>
      <family val="2"/>
    </font>
    <font>
      <sz val="15"/>
      <color theme="1"/>
      <name val="Arial"/>
      <family val="2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11" borderId="0" xfId="0" applyFill="1"/>
    <xf numFmtId="0" fontId="2" fillId="0" borderId="0" xfId="0" applyFont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10" fontId="2" fillId="0" borderId="1" xfId="2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2" borderId="3" xfId="0" applyFont="1" applyFill="1" applyBorder="1" applyAlignment="1">
      <alignment horizontal="center" vertical="center"/>
    </xf>
    <xf numFmtId="44" fontId="2" fillId="0" borderId="1" xfId="1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10" fillId="9" borderId="1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368300</xdr:colOff>
      <xdr:row>0</xdr:row>
      <xdr:rowOff>196850</xdr:rowOff>
    </xdr:from>
    <xdr:to>
      <xdr:col>8</xdr:col>
      <xdr:colOff>298450</xdr:colOff>
      <xdr:row>4</xdr:row>
      <xdr:rowOff>28575</xdr:rowOff>
    </xdr:to>
    <xdr:sp macro="[0]!total_projected_claim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B630D8-08C8-C619-F6C4-476ECB1036B8}"/>
            </a:ext>
          </a:extLst>
        </xdr:cNvPr>
        <xdr:cNvSpPr/>
      </xdr:nvSpPr>
      <xdr:spPr>
        <a:xfrm>
          <a:off x="4981575" y="196850"/>
          <a:ext cx="1149350" cy="596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/>
            <a:t>Calculating projected claims</a:t>
          </a:r>
        </a:p>
      </xdr:txBody>
    </xdr:sp>
    <xdr:clientData/>
  </xdr:twoCellAnchor>
  <xdr:twoCellAnchor>
    <xdr:from>
      <xdr:col>6</xdr:col>
      <xdr:colOff>381000</xdr:colOff>
      <xdr:row>5</xdr:row>
      <xdr:rowOff>146050</xdr:rowOff>
    </xdr:from>
    <xdr:to>
      <xdr:col>8</xdr:col>
      <xdr:colOff>311150</xdr:colOff>
      <xdr:row>8</xdr:row>
      <xdr:rowOff>180975</xdr:rowOff>
    </xdr:to>
    <xdr:sp macro="[0]!DeleteTota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53DCBBA-99CB-4CAC-AB8E-A0DD5431B621}"/>
            </a:ext>
          </a:extLst>
        </xdr:cNvPr>
        <xdr:cNvSpPr/>
      </xdr:nvSpPr>
      <xdr:spPr>
        <a:xfrm>
          <a:off x="4994275" y="1098550"/>
          <a:ext cx="1149350" cy="5969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/>
            <a:t>Delete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D22"/>
  <sheetViews>
    <sheetView tabSelected="1" workbookViewId="0">
      <selection activeCell="C5" sqref="C5"/>
    </sheetView>
  </sheetViews>
  <sheetFormatPr defaultRowHeight="14.25" x14ac:dyDescent="0.75"/>
  <cols>
    <col min="1" max="1" width="8.7265625" style="3"/>
    <col min="2" max="2" width="9.6796875" style="3" customWidth="1"/>
    <col min="3" max="4" width="8.7265625" style="3"/>
    <col min="5" max="5" width="24.6328125" style="3" bestFit="1" customWidth="1"/>
    <col min="6" max="32" width="10.6796875" style="3" customWidth="1"/>
    <col min="33" max="16384" width="8.7265625" style="3"/>
  </cols>
  <sheetData>
    <row r="2" spans="2:30" ht="19.25" x14ac:dyDescent="0.75">
      <c r="B2" s="20" t="s">
        <v>5</v>
      </c>
      <c r="C2" s="20"/>
      <c r="D2" s="2"/>
      <c r="F2" s="20" t="s">
        <v>9</v>
      </c>
      <c r="G2" s="21"/>
      <c r="H2" s="21"/>
      <c r="I2" s="21"/>
    </row>
    <row r="3" spans="2:30" ht="14.5" x14ac:dyDescent="0.75">
      <c r="B3" s="4" t="s">
        <v>0</v>
      </c>
      <c r="C3" s="5" t="s">
        <v>12</v>
      </c>
      <c r="E3" s="4" t="s">
        <v>6</v>
      </c>
      <c r="F3" s="6">
        <v>1</v>
      </c>
      <c r="G3" s="6">
        <v>2</v>
      </c>
      <c r="H3" s="6">
        <v>3</v>
      </c>
      <c r="I3" s="6">
        <v>4</v>
      </c>
      <c r="J3" s="6">
        <v>5</v>
      </c>
      <c r="K3" s="6">
        <v>6</v>
      </c>
      <c r="L3" s="6">
        <v>7</v>
      </c>
      <c r="M3" s="6">
        <v>8</v>
      </c>
      <c r="N3" s="6">
        <v>9</v>
      </c>
      <c r="O3" s="6">
        <v>10</v>
      </c>
      <c r="P3" s="6">
        <v>11</v>
      </c>
      <c r="Q3" s="6">
        <v>12</v>
      </c>
      <c r="R3" s="6">
        <v>13</v>
      </c>
      <c r="S3" s="6">
        <v>14</v>
      </c>
      <c r="T3" s="6">
        <v>15</v>
      </c>
      <c r="U3" s="6">
        <v>16</v>
      </c>
      <c r="V3" s="6">
        <v>17</v>
      </c>
      <c r="W3" s="6">
        <v>18</v>
      </c>
      <c r="X3" s="6">
        <v>19</v>
      </c>
      <c r="Y3" s="6">
        <v>20</v>
      </c>
      <c r="Z3" s="6">
        <v>21</v>
      </c>
      <c r="AA3" s="6">
        <v>22</v>
      </c>
      <c r="AB3" s="6">
        <v>23</v>
      </c>
      <c r="AC3" s="6">
        <v>24</v>
      </c>
      <c r="AD3" s="6">
        <v>25</v>
      </c>
    </row>
    <row r="4" spans="2:30" ht="14.5" x14ac:dyDescent="0.75">
      <c r="B4" s="4" t="s">
        <v>2</v>
      </c>
      <c r="C4" s="5">
        <v>66</v>
      </c>
      <c r="E4" s="4" t="s">
        <v>7</v>
      </c>
      <c r="F4" s="5">
        <f t="shared" ref="F4:AD4" si="0">ROUNDDOWN(($C$4+F3-1)/10,0)*10</f>
        <v>60</v>
      </c>
      <c r="G4" s="5">
        <f t="shared" si="0"/>
        <v>60</v>
      </c>
      <c r="H4" s="5">
        <f t="shared" si="0"/>
        <v>60</v>
      </c>
      <c r="I4" s="5">
        <f t="shared" si="0"/>
        <v>60</v>
      </c>
      <c r="J4" s="5">
        <f t="shared" si="0"/>
        <v>70</v>
      </c>
      <c r="K4" s="5">
        <f t="shared" si="0"/>
        <v>70</v>
      </c>
      <c r="L4" s="5">
        <f t="shared" si="0"/>
        <v>70</v>
      </c>
      <c r="M4" s="5">
        <f t="shared" si="0"/>
        <v>70</v>
      </c>
      <c r="N4" s="5">
        <f t="shared" si="0"/>
        <v>70</v>
      </c>
      <c r="O4" s="5">
        <f t="shared" si="0"/>
        <v>70</v>
      </c>
      <c r="P4" s="5">
        <f t="shared" si="0"/>
        <v>70</v>
      </c>
      <c r="Q4" s="5">
        <f t="shared" si="0"/>
        <v>70</v>
      </c>
      <c r="R4" s="5">
        <f t="shared" si="0"/>
        <v>70</v>
      </c>
      <c r="S4" s="5">
        <f t="shared" si="0"/>
        <v>70</v>
      </c>
      <c r="T4" s="5">
        <f t="shared" si="0"/>
        <v>80</v>
      </c>
      <c r="U4" s="5">
        <f t="shared" si="0"/>
        <v>80</v>
      </c>
      <c r="V4" s="5">
        <f t="shared" si="0"/>
        <v>80</v>
      </c>
      <c r="W4" s="5">
        <f t="shared" si="0"/>
        <v>80</v>
      </c>
      <c r="X4" s="5">
        <f t="shared" si="0"/>
        <v>80</v>
      </c>
      <c r="Y4" s="5">
        <f t="shared" si="0"/>
        <v>80</v>
      </c>
      <c r="Z4" s="5">
        <f t="shared" si="0"/>
        <v>80</v>
      </c>
      <c r="AA4" s="5">
        <f t="shared" si="0"/>
        <v>80</v>
      </c>
      <c r="AB4" s="5">
        <f t="shared" si="0"/>
        <v>80</v>
      </c>
      <c r="AC4" s="5">
        <f t="shared" si="0"/>
        <v>80</v>
      </c>
      <c r="AD4" s="5">
        <f t="shared" si="0"/>
        <v>90</v>
      </c>
    </row>
    <row r="5" spans="2:30" ht="14.5" x14ac:dyDescent="0.75">
      <c r="B5" s="4" t="s">
        <v>3</v>
      </c>
      <c r="C5" s="5" t="s">
        <v>4</v>
      </c>
      <c r="E5" s="4" t="s">
        <v>8</v>
      </c>
      <c r="F5" s="5">
        <f t="shared" ref="F5:AD5" si="1">IF(F4&gt;=70,0,IF($C$3="Male",$F$13,$F$14)*HLOOKUP(F4,$F$16:$J$18,IF($C$3="Male",2,3),0)*IF($C$5="Healthy",$F$21,$F$22))</f>
        <v>54.96</v>
      </c>
      <c r="G5" s="5">
        <f t="shared" si="1"/>
        <v>54.96</v>
      </c>
      <c r="H5" s="5">
        <f t="shared" si="1"/>
        <v>54.96</v>
      </c>
      <c r="I5" s="5">
        <f t="shared" si="1"/>
        <v>54.96</v>
      </c>
      <c r="J5" s="5">
        <f t="shared" si="1"/>
        <v>0</v>
      </c>
      <c r="K5" s="5">
        <f t="shared" si="1"/>
        <v>0</v>
      </c>
      <c r="L5" s="5">
        <f t="shared" si="1"/>
        <v>0</v>
      </c>
      <c r="M5" s="5">
        <f t="shared" si="1"/>
        <v>0</v>
      </c>
      <c r="N5" s="5">
        <f t="shared" si="1"/>
        <v>0</v>
      </c>
      <c r="O5" s="5">
        <f t="shared" si="1"/>
        <v>0</v>
      </c>
      <c r="P5" s="5">
        <f t="shared" si="1"/>
        <v>0</v>
      </c>
      <c r="Q5" s="5">
        <f t="shared" si="1"/>
        <v>0</v>
      </c>
      <c r="R5" s="5">
        <f t="shared" si="1"/>
        <v>0</v>
      </c>
      <c r="S5" s="5">
        <f t="shared" si="1"/>
        <v>0</v>
      </c>
      <c r="T5" s="5">
        <f t="shared" si="1"/>
        <v>0</v>
      </c>
      <c r="U5" s="5">
        <f t="shared" si="1"/>
        <v>0</v>
      </c>
      <c r="V5" s="5">
        <f t="shared" si="1"/>
        <v>0</v>
      </c>
      <c r="W5" s="5">
        <f t="shared" si="1"/>
        <v>0</v>
      </c>
      <c r="X5" s="5">
        <f t="shared" si="1"/>
        <v>0</v>
      </c>
      <c r="Y5" s="5">
        <f t="shared" si="1"/>
        <v>0</v>
      </c>
      <c r="Z5" s="5">
        <f t="shared" si="1"/>
        <v>0</v>
      </c>
      <c r="AA5" s="5">
        <f t="shared" si="1"/>
        <v>0</v>
      </c>
      <c r="AB5" s="5">
        <f t="shared" si="1"/>
        <v>0</v>
      </c>
      <c r="AC5" s="5">
        <f t="shared" si="1"/>
        <v>0</v>
      </c>
      <c r="AD5" s="5">
        <f t="shared" si="1"/>
        <v>0</v>
      </c>
    </row>
    <row r="6" spans="2:30" ht="14.5" x14ac:dyDescent="0.75">
      <c r="E6" s="11" t="s">
        <v>15</v>
      </c>
      <c r="F6" s="7">
        <f>SUM(F5:AD5)</f>
        <v>219.84</v>
      </c>
    </row>
    <row r="10" spans="2:30" ht="19.25" x14ac:dyDescent="0.75">
      <c r="E10" s="25" t="s">
        <v>10</v>
      </c>
      <c r="F10" s="26"/>
      <c r="G10" s="26"/>
      <c r="H10" s="27"/>
    </row>
    <row r="12" spans="2:30" ht="29" customHeight="1" x14ac:dyDescent="0.75">
      <c r="E12" s="28" t="s">
        <v>11</v>
      </c>
      <c r="F12" s="28"/>
      <c r="G12" s="28"/>
    </row>
    <row r="13" spans="2:30" ht="14.5" x14ac:dyDescent="0.75">
      <c r="E13" s="8" t="s">
        <v>12</v>
      </c>
      <c r="F13" s="24">
        <v>687</v>
      </c>
      <c r="G13" s="24"/>
    </row>
    <row r="14" spans="2:30" ht="14.5" x14ac:dyDescent="0.75">
      <c r="E14" s="8" t="s">
        <v>1</v>
      </c>
      <c r="F14" s="24">
        <v>492</v>
      </c>
      <c r="G14" s="24"/>
    </row>
    <row r="16" spans="2:30" ht="29" x14ac:dyDescent="0.75">
      <c r="E16" s="19" t="s">
        <v>118</v>
      </c>
      <c r="F16" s="18">
        <v>20</v>
      </c>
      <c r="G16" s="18">
        <f>F16+10</f>
        <v>30</v>
      </c>
      <c r="H16" s="18">
        <f t="shared" ref="H16:J16" si="2">G16+10</f>
        <v>40</v>
      </c>
      <c r="I16" s="18">
        <f t="shared" si="2"/>
        <v>50</v>
      </c>
      <c r="J16" s="18">
        <f t="shared" si="2"/>
        <v>60</v>
      </c>
    </row>
    <row r="17" spans="5:10" ht="14.5" x14ac:dyDescent="0.75">
      <c r="E17" s="8" t="s">
        <v>12</v>
      </c>
      <c r="F17" s="9">
        <v>0.01</v>
      </c>
      <c r="G17" s="9">
        <v>1.4999999999999999E-2</v>
      </c>
      <c r="H17" s="9">
        <v>0.03</v>
      </c>
      <c r="I17" s="9">
        <v>0.05</v>
      </c>
      <c r="J17" s="9">
        <v>0.08</v>
      </c>
    </row>
    <row r="18" spans="5:10" ht="14.5" x14ac:dyDescent="0.75">
      <c r="E18" s="8" t="s">
        <v>1</v>
      </c>
      <c r="F18" s="9">
        <f>F17*0.75</f>
        <v>7.4999999999999997E-3</v>
      </c>
      <c r="G18" s="9">
        <f t="shared" ref="G18:J18" si="3">G17*0.75</f>
        <v>1.125E-2</v>
      </c>
      <c r="H18" s="9">
        <f t="shared" si="3"/>
        <v>2.2499999999999999E-2</v>
      </c>
      <c r="I18" s="9">
        <f t="shared" si="3"/>
        <v>3.7500000000000006E-2</v>
      </c>
      <c r="J18" s="9">
        <f t="shared" si="3"/>
        <v>0.06</v>
      </c>
    </row>
    <row r="20" spans="5:10" ht="16.75" x14ac:dyDescent="0.75">
      <c r="E20" s="22" t="s">
        <v>13</v>
      </c>
      <c r="F20" s="23"/>
    </row>
    <row r="21" spans="5:10" ht="14.5" x14ac:dyDescent="0.75">
      <c r="E21" s="8" t="s">
        <v>4</v>
      </c>
      <c r="F21" s="10">
        <v>1</v>
      </c>
    </row>
    <row r="22" spans="5:10" ht="14.5" x14ac:dyDescent="0.75">
      <c r="E22" s="8" t="s">
        <v>14</v>
      </c>
      <c r="F22" s="10">
        <v>1.5</v>
      </c>
    </row>
  </sheetData>
  <mergeCells count="7">
    <mergeCell ref="B2:C2"/>
    <mergeCell ref="F2:I2"/>
    <mergeCell ref="E20:F20"/>
    <mergeCell ref="F13:G13"/>
    <mergeCell ref="F14:G14"/>
    <mergeCell ref="E10:H10"/>
    <mergeCell ref="E12:G12"/>
  </mergeCells>
  <dataValidations count="3">
    <dataValidation type="list" allowBlank="1" showInputMessage="1" showErrorMessage="1" sqref="C3" xr:uid="{00000000-0002-0000-0000-000000000000}">
      <formula1>"Male,Female"</formula1>
    </dataValidation>
    <dataValidation type="list" allowBlank="1" showInputMessage="1" showErrorMessage="1" sqref="C5" xr:uid="{00000000-0002-0000-0000-000001000000}">
      <formula1>"Healthy,Unhealthy"</formula1>
    </dataValidation>
    <dataValidation allowBlank="1" showInputMessage="1" showErrorMessage="1" prompt="Enter age at the start of the policy. Age may range from 20 - 69. " sqref="C4" xr:uid="{00000000-0002-0000-0000-000002000000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01"/>
  <sheetViews>
    <sheetView workbookViewId="0">
      <selection activeCell="J14" sqref="J14"/>
    </sheetView>
  </sheetViews>
  <sheetFormatPr defaultRowHeight="14.75" x14ac:dyDescent="0.75"/>
  <cols>
    <col min="1" max="1" width="16.40625" style="1" bestFit="1" customWidth="1"/>
    <col min="2" max="2" width="9.1796875" style="1" bestFit="1" customWidth="1"/>
    <col min="3" max="3" width="5.1328125" style="1" bestFit="1" customWidth="1"/>
    <col min="4" max="4" width="11.90625" style="1" bestFit="1" customWidth="1"/>
    <col min="5" max="5" width="26.1328125" style="1" bestFit="1" customWidth="1"/>
    <col min="6" max="16384" width="8.7265625" style="1"/>
  </cols>
  <sheetData>
    <row r="1" spans="1:5" x14ac:dyDescent="0.75">
      <c r="A1" s="12" t="s">
        <v>16</v>
      </c>
      <c r="B1" s="12" t="s">
        <v>0</v>
      </c>
      <c r="C1" s="12" t="s">
        <v>2</v>
      </c>
      <c r="D1" s="12" t="s">
        <v>3</v>
      </c>
      <c r="E1" s="12" t="s">
        <v>117</v>
      </c>
    </row>
    <row r="2" spans="1:5" x14ac:dyDescent="0.75">
      <c r="A2" s="13" t="s">
        <v>17</v>
      </c>
      <c r="B2" s="14" t="s">
        <v>1</v>
      </c>
      <c r="C2" s="15">
        <v>63</v>
      </c>
      <c r="D2" s="16">
        <v>1</v>
      </c>
      <c r="E2" s="17">
        <v>577.07999999999993</v>
      </c>
    </row>
    <row r="3" spans="1:5" x14ac:dyDescent="0.75">
      <c r="A3" s="13" t="s">
        <v>18</v>
      </c>
      <c r="B3" s="14" t="s">
        <v>12</v>
      </c>
      <c r="C3" s="15">
        <v>67</v>
      </c>
      <c r="D3" s="16">
        <v>2</v>
      </c>
      <c r="E3" s="17">
        <v>164.88</v>
      </c>
    </row>
    <row r="4" spans="1:5" x14ac:dyDescent="0.75">
      <c r="A4" s="13" t="s">
        <v>19</v>
      </c>
      <c r="B4" s="14" t="s">
        <v>1</v>
      </c>
      <c r="C4" s="15">
        <v>59</v>
      </c>
      <c r="D4" s="16">
        <v>1</v>
      </c>
      <c r="E4" s="17">
        <v>875.92500000000018</v>
      </c>
    </row>
    <row r="5" spans="1:5" x14ac:dyDescent="0.75">
      <c r="A5" s="13" t="s">
        <v>20</v>
      </c>
      <c r="B5" s="14" t="s">
        <v>12</v>
      </c>
      <c r="C5" s="15">
        <v>36</v>
      </c>
      <c r="D5" s="16">
        <v>1</v>
      </c>
      <c r="E5" s="17">
        <v>968.66999999999985</v>
      </c>
    </row>
    <row r="6" spans="1:5" x14ac:dyDescent="0.75">
      <c r="A6" s="13" t="s">
        <v>21</v>
      </c>
      <c r="B6" s="14" t="s">
        <v>1</v>
      </c>
      <c r="C6" s="15">
        <v>54</v>
      </c>
      <c r="D6" s="16">
        <v>2</v>
      </c>
      <c r="E6" s="17">
        <v>755.7</v>
      </c>
    </row>
    <row r="7" spans="1:5" x14ac:dyDescent="0.75">
      <c r="A7" s="13" t="s">
        <v>22</v>
      </c>
      <c r="B7" s="14" t="s">
        <v>12</v>
      </c>
      <c r="C7" s="15">
        <v>23</v>
      </c>
      <c r="D7" s="16">
        <v>1</v>
      </c>
      <c r="E7" s="17">
        <v>474.0300000000002</v>
      </c>
    </row>
    <row r="8" spans="1:5" x14ac:dyDescent="0.75">
      <c r="A8" s="13" t="s">
        <v>23</v>
      </c>
      <c r="B8" s="14" t="s">
        <v>12</v>
      </c>
      <c r="C8" s="15">
        <v>46</v>
      </c>
      <c r="D8" s="16">
        <v>2</v>
      </c>
      <c r="E8" s="17">
        <v>975.5400000000003</v>
      </c>
    </row>
    <row r="9" spans="1:5" x14ac:dyDescent="0.75">
      <c r="A9" s="13" t="s">
        <v>24</v>
      </c>
      <c r="B9" s="14" t="s">
        <v>1</v>
      </c>
      <c r="C9" s="15">
        <v>49</v>
      </c>
      <c r="D9" s="16">
        <v>2</v>
      </c>
      <c r="E9" s="17">
        <v>913.71000000000026</v>
      </c>
    </row>
    <row r="10" spans="1:5" x14ac:dyDescent="0.75">
      <c r="A10" s="13" t="s">
        <v>25</v>
      </c>
      <c r="B10" s="14" t="s">
        <v>1</v>
      </c>
      <c r="C10" s="15">
        <v>61</v>
      </c>
      <c r="D10" s="16">
        <v>2</v>
      </c>
      <c r="E10" s="17">
        <v>494.63999999999993</v>
      </c>
    </row>
    <row r="11" spans="1:5" x14ac:dyDescent="0.75">
      <c r="A11" s="13" t="s">
        <v>26</v>
      </c>
      <c r="B11" s="14" t="s">
        <v>1</v>
      </c>
      <c r="C11" s="15">
        <v>67</v>
      </c>
      <c r="D11" s="16">
        <v>1</v>
      </c>
      <c r="E11" s="17">
        <v>247.32</v>
      </c>
    </row>
    <row r="12" spans="1:5" x14ac:dyDescent="0.75">
      <c r="A12" s="13" t="s">
        <v>27</v>
      </c>
      <c r="B12" s="14" t="s">
        <v>12</v>
      </c>
      <c r="C12" s="15">
        <v>21</v>
      </c>
      <c r="D12" s="16">
        <v>1</v>
      </c>
      <c r="E12" s="17">
        <v>432.81000000000017</v>
      </c>
    </row>
    <row r="13" spans="1:5" x14ac:dyDescent="0.75">
      <c r="A13" s="13" t="s">
        <v>28</v>
      </c>
      <c r="B13" s="14" t="s">
        <v>12</v>
      </c>
      <c r="C13" s="15">
        <v>41</v>
      </c>
      <c r="D13" s="16">
        <v>1</v>
      </c>
      <c r="E13" s="17">
        <v>1288.125</v>
      </c>
    </row>
    <row r="14" spans="1:5" x14ac:dyDescent="0.75">
      <c r="A14" s="13" t="s">
        <v>29</v>
      </c>
      <c r="B14" s="14" t="s">
        <v>1</v>
      </c>
      <c r="C14" s="15">
        <v>32</v>
      </c>
      <c r="D14" s="16">
        <v>1</v>
      </c>
      <c r="E14" s="17">
        <v>793.4849999999999</v>
      </c>
    </row>
    <row r="15" spans="1:5" x14ac:dyDescent="0.75">
      <c r="A15" s="13" t="s">
        <v>30</v>
      </c>
      <c r="B15" s="14" t="s">
        <v>1</v>
      </c>
      <c r="C15" s="15">
        <v>43</v>
      </c>
      <c r="D15" s="16">
        <v>1</v>
      </c>
      <c r="E15" s="17">
        <v>1391.1750000000002</v>
      </c>
    </row>
    <row r="16" spans="1:5" x14ac:dyDescent="0.75">
      <c r="A16" s="13" t="s">
        <v>31</v>
      </c>
      <c r="B16" s="14" t="s">
        <v>1</v>
      </c>
      <c r="C16" s="15">
        <v>55</v>
      </c>
      <c r="D16" s="16">
        <v>1</v>
      </c>
      <c r="E16" s="17">
        <v>1082.0250000000003</v>
      </c>
    </row>
    <row r="17" spans="1:5" x14ac:dyDescent="0.75">
      <c r="A17" s="13" t="s">
        <v>32</v>
      </c>
      <c r="B17" s="14" t="s">
        <v>12</v>
      </c>
      <c r="C17" s="15">
        <v>41</v>
      </c>
      <c r="D17" s="16">
        <v>2</v>
      </c>
      <c r="E17" s="17">
        <v>858.75000000000034</v>
      </c>
    </row>
    <row r="18" spans="1:5" x14ac:dyDescent="0.75">
      <c r="A18" s="13" t="s">
        <v>33</v>
      </c>
      <c r="B18" s="14" t="s">
        <v>12</v>
      </c>
      <c r="C18" s="15">
        <v>64</v>
      </c>
      <c r="D18" s="16">
        <v>1</v>
      </c>
      <c r="E18" s="17">
        <v>494.64</v>
      </c>
    </row>
    <row r="19" spans="1:5" x14ac:dyDescent="0.75">
      <c r="A19" s="13" t="s">
        <v>34</v>
      </c>
      <c r="B19" s="14" t="s">
        <v>1</v>
      </c>
      <c r="C19" s="15">
        <v>50</v>
      </c>
      <c r="D19" s="16">
        <v>2</v>
      </c>
      <c r="E19" s="17">
        <v>893.10000000000025</v>
      </c>
    </row>
    <row r="20" spans="1:5" x14ac:dyDescent="0.75">
      <c r="A20" s="13" t="s">
        <v>35</v>
      </c>
      <c r="B20" s="14" t="s">
        <v>1</v>
      </c>
      <c r="C20" s="15">
        <v>28</v>
      </c>
      <c r="D20" s="16">
        <v>1</v>
      </c>
      <c r="E20" s="17">
        <v>638.91000000000008</v>
      </c>
    </row>
    <row r="21" spans="1:5" x14ac:dyDescent="0.75">
      <c r="A21" s="13" t="s">
        <v>36</v>
      </c>
      <c r="B21" s="14" t="s">
        <v>1</v>
      </c>
      <c r="C21" s="15">
        <v>40</v>
      </c>
      <c r="D21" s="16">
        <v>2</v>
      </c>
      <c r="E21" s="17">
        <v>824.40000000000032</v>
      </c>
    </row>
    <row r="22" spans="1:5" x14ac:dyDescent="0.75">
      <c r="A22" s="13" t="s">
        <v>37</v>
      </c>
      <c r="B22" s="14" t="s">
        <v>1</v>
      </c>
      <c r="C22" s="15">
        <v>44</v>
      </c>
      <c r="D22" s="16">
        <v>1</v>
      </c>
      <c r="E22" s="17">
        <v>1442.7000000000003</v>
      </c>
    </row>
    <row r="23" spans="1:5" x14ac:dyDescent="0.75">
      <c r="A23" s="13" t="s">
        <v>38</v>
      </c>
      <c r="B23" s="14" t="s">
        <v>12</v>
      </c>
      <c r="C23" s="15">
        <v>28</v>
      </c>
      <c r="D23" s="16">
        <v>1</v>
      </c>
      <c r="E23" s="17">
        <v>638.91000000000008</v>
      </c>
    </row>
    <row r="24" spans="1:5" x14ac:dyDescent="0.75">
      <c r="A24" s="13" t="s">
        <v>39</v>
      </c>
      <c r="B24" s="14" t="s">
        <v>1</v>
      </c>
      <c r="C24" s="15">
        <v>43</v>
      </c>
      <c r="D24" s="16">
        <v>1</v>
      </c>
      <c r="E24" s="17">
        <v>1391.1750000000002</v>
      </c>
    </row>
    <row r="25" spans="1:5" x14ac:dyDescent="0.75">
      <c r="A25" s="13" t="s">
        <v>40</v>
      </c>
      <c r="B25" s="14" t="s">
        <v>12</v>
      </c>
      <c r="C25" s="15">
        <v>68</v>
      </c>
      <c r="D25" s="16">
        <v>2</v>
      </c>
      <c r="E25" s="17">
        <v>109.92</v>
      </c>
    </row>
    <row r="26" spans="1:5" x14ac:dyDescent="0.75">
      <c r="A26" s="13" t="s">
        <v>41</v>
      </c>
      <c r="B26" s="14" t="s">
        <v>12</v>
      </c>
      <c r="C26" s="15">
        <v>38</v>
      </c>
      <c r="D26" s="16">
        <v>1</v>
      </c>
      <c r="E26" s="17">
        <v>1102.635</v>
      </c>
    </row>
    <row r="27" spans="1:5" x14ac:dyDescent="0.75">
      <c r="A27" s="13" t="s">
        <v>42</v>
      </c>
      <c r="B27" s="14" t="s">
        <v>1</v>
      </c>
      <c r="C27" s="15">
        <v>57</v>
      </c>
      <c r="D27" s="16">
        <v>2</v>
      </c>
      <c r="E27" s="17">
        <v>652.65</v>
      </c>
    </row>
    <row r="28" spans="1:5" x14ac:dyDescent="0.75">
      <c r="A28" s="13" t="s">
        <v>43</v>
      </c>
      <c r="B28" s="14" t="s">
        <v>12</v>
      </c>
      <c r="C28" s="15">
        <v>46</v>
      </c>
      <c r="D28" s="16">
        <v>1</v>
      </c>
      <c r="E28" s="17">
        <v>1463.3100000000004</v>
      </c>
    </row>
    <row r="29" spans="1:5" x14ac:dyDescent="0.75">
      <c r="A29" s="13" t="s">
        <v>44</v>
      </c>
      <c r="B29" s="14" t="s">
        <v>1</v>
      </c>
      <c r="C29" s="15">
        <v>48</v>
      </c>
      <c r="D29" s="16">
        <v>1</v>
      </c>
      <c r="E29" s="17">
        <v>1401.4800000000005</v>
      </c>
    </row>
    <row r="30" spans="1:5" x14ac:dyDescent="0.75">
      <c r="A30" s="13" t="s">
        <v>45</v>
      </c>
      <c r="B30" s="14" t="s">
        <v>1</v>
      </c>
      <c r="C30" s="15">
        <v>64</v>
      </c>
      <c r="D30" s="16">
        <v>1</v>
      </c>
      <c r="E30" s="17">
        <v>494.64</v>
      </c>
    </row>
    <row r="31" spans="1:5" x14ac:dyDescent="0.75">
      <c r="A31" s="13" t="s">
        <v>46</v>
      </c>
      <c r="B31" s="14" t="s">
        <v>12</v>
      </c>
      <c r="C31" s="15">
        <v>35</v>
      </c>
      <c r="D31" s="16">
        <v>2</v>
      </c>
      <c r="E31" s="17">
        <v>601.12500000000023</v>
      </c>
    </row>
    <row r="32" spans="1:5" x14ac:dyDescent="0.75">
      <c r="A32" s="13" t="s">
        <v>47</v>
      </c>
      <c r="B32" s="14" t="s">
        <v>12</v>
      </c>
      <c r="C32" s="15">
        <v>48</v>
      </c>
      <c r="D32" s="16">
        <v>1</v>
      </c>
      <c r="E32" s="17">
        <v>1401.4800000000005</v>
      </c>
    </row>
    <row r="33" spans="1:5" x14ac:dyDescent="0.75">
      <c r="A33" s="13" t="s">
        <v>48</v>
      </c>
      <c r="B33" s="14" t="s">
        <v>12</v>
      </c>
      <c r="C33" s="15">
        <v>58</v>
      </c>
      <c r="D33" s="16">
        <v>2</v>
      </c>
      <c r="E33" s="17">
        <v>618.29999999999995</v>
      </c>
    </row>
    <row r="34" spans="1:5" x14ac:dyDescent="0.75">
      <c r="A34" s="13" t="s">
        <v>49</v>
      </c>
      <c r="B34" s="14" t="s">
        <v>12</v>
      </c>
      <c r="C34" s="15">
        <v>44</v>
      </c>
      <c r="D34" s="16">
        <v>2</v>
      </c>
      <c r="E34" s="17">
        <v>961.80000000000041</v>
      </c>
    </row>
    <row r="35" spans="1:5" x14ac:dyDescent="0.75">
      <c r="A35" s="13" t="s">
        <v>50</v>
      </c>
      <c r="B35" s="14" t="s">
        <v>1</v>
      </c>
      <c r="C35" s="15">
        <v>23</v>
      </c>
      <c r="D35" s="16">
        <v>2</v>
      </c>
      <c r="E35" s="17">
        <v>316.02000000000015</v>
      </c>
    </row>
    <row r="36" spans="1:5" x14ac:dyDescent="0.75">
      <c r="A36" s="13" t="s">
        <v>51</v>
      </c>
      <c r="B36" s="14" t="s">
        <v>12</v>
      </c>
      <c r="C36" s="15">
        <v>60</v>
      </c>
      <c r="D36" s="16">
        <v>2</v>
      </c>
      <c r="E36" s="17">
        <v>549.59999999999991</v>
      </c>
    </row>
    <row r="37" spans="1:5" x14ac:dyDescent="0.75">
      <c r="A37" s="13" t="s">
        <v>52</v>
      </c>
      <c r="B37" s="14" t="s">
        <v>12</v>
      </c>
      <c r="C37" s="15">
        <v>37</v>
      </c>
      <c r="D37" s="16">
        <v>1</v>
      </c>
      <c r="E37" s="17">
        <v>1035.6524999999999</v>
      </c>
    </row>
    <row r="38" spans="1:5" x14ac:dyDescent="0.75">
      <c r="A38" s="13" t="s">
        <v>53</v>
      </c>
      <c r="B38" s="14" t="s">
        <v>12</v>
      </c>
      <c r="C38" s="15">
        <v>65</v>
      </c>
      <c r="D38" s="16">
        <v>1</v>
      </c>
      <c r="E38" s="17">
        <v>412.2</v>
      </c>
    </row>
    <row r="39" spans="1:5" x14ac:dyDescent="0.75">
      <c r="A39" s="13" t="s">
        <v>54</v>
      </c>
      <c r="B39" s="14" t="s">
        <v>1</v>
      </c>
      <c r="C39" s="15">
        <v>41</v>
      </c>
      <c r="D39" s="16">
        <v>1</v>
      </c>
      <c r="E39" s="17">
        <v>1288.125</v>
      </c>
    </row>
    <row r="40" spans="1:5" x14ac:dyDescent="0.75">
      <c r="A40" s="13" t="s">
        <v>55</v>
      </c>
      <c r="B40" s="14" t="s">
        <v>1</v>
      </c>
      <c r="C40" s="15">
        <v>46</v>
      </c>
      <c r="D40" s="16">
        <v>2</v>
      </c>
      <c r="E40" s="17">
        <v>975.5400000000003</v>
      </c>
    </row>
    <row r="41" spans="1:5" x14ac:dyDescent="0.75">
      <c r="A41" s="13" t="s">
        <v>56</v>
      </c>
      <c r="B41" s="14" t="s">
        <v>12</v>
      </c>
      <c r="C41" s="15">
        <v>24</v>
      </c>
      <c r="D41" s="16">
        <v>2</v>
      </c>
      <c r="E41" s="17">
        <v>329.76000000000016</v>
      </c>
    </row>
    <row r="42" spans="1:5" x14ac:dyDescent="0.75">
      <c r="A42" s="13" t="s">
        <v>57</v>
      </c>
      <c r="B42" s="14" t="s">
        <v>12</v>
      </c>
      <c r="C42" s="15">
        <v>29</v>
      </c>
      <c r="D42" s="16">
        <v>1</v>
      </c>
      <c r="E42" s="17">
        <v>680.13000000000011</v>
      </c>
    </row>
    <row r="43" spans="1:5" x14ac:dyDescent="0.75">
      <c r="A43" s="13" t="s">
        <v>58</v>
      </c>
      <c r="B43" s="14" t="s">
        <v>12</v>
      </c>
      <c r="C43" s="15">
        <v>22</v>
      </c>
      <c r="D43" s="16">
        <v>2</v>
      </c>
      <c r="E43" s="17">
        <v>302.28000000000014</v>
      </c>
    </row>
    <row r="44" spans="1:5" x14ac:dyDescent="0.75">
      <c r="A44" s="13" t="s">
        <v>59</v>
      </c>
      <c r="B44" s="14" t="s">
        <v>12</v>
      </c>
      <c r="C44" s="15">
        <v>49</v>
      </c>
      <c r="D44" s="16">
        <v>1</v>
      </c>
      <c r="E44" s="17">
        <v>1370.5650000000005</v>
      </c>
    </row>
    <row r="45" spans="1:5" x14ac:dyDescent="0.75">
      <c r="A45" s="13" t="s">
        <v>60</v>
      </c>
      <c r="B45" s="14" t="s">
        <v>12</v>
      </c>
      <c r="C45" s="15">
        <v>51</v>
      </c>
      <c r="D45" s="16">
        <v>2</v>
      </c>
      <c r="E45" s="17">
        <v>858.75000000000023</v>
      </c>
    </row>
    <row r="46" spans="1:5" x14ac:dyDescent="0.75">
      <c r="A46" s="13" t="s">
        <v>61</v>
      </c>
      <c r="B46" s="14" t="s">
        <v>1</v>
      </c>
      <c r="C46" s="15">
        <v>32</v>
      </c>
      <c r="D46" s="16">
        <v>1</v>
      </c>
      <c r="E46" s="17">
        <v>793.4849999999999</v>
      </c>
    </row>
    <row r="47" spans="1:5" x14ac:dyDescent="0.75">
      <c r="A47" s="13" t="s">
        <v>62</v>
      </c>
      <c r="B47" s="14" t="s">
        <v>1</v>
      </c>
      <c r="C47" s="15">
        <v>64</v>
      </c>
      <c r="D47" s="16">
        <v>1</v>
      </c>
      <c r="E47" s="17">
        <v>494.64</v>
      </c>
    </row>
    <row r="48" spans="1:5" x14ac:dyDescent="0.75">
      <c r="A48" s="13" t="s">
        <v>63</v>
      </c>
      <c r="B48" s="14" t="s">
        <v>1</v>
      </c>
      <c r="C48" s="15">
        <v>32</v>
      </c>
      <c r="D48" s="16">
        <v>2</v>
      </c>
      <c r="E48" s="17">
        <v>528.99000000000024</v>
      </c>
    </row>
    <row r="49" spans="1:5" x14ac:dyDescent="0.75">
      <c r="A49" s="13" t="s">
        <v>64</v>
      </c>
      <c r="B49" s="14" t="s">
        <v>12</v>
      </c>
      <c r="C49" s="15">
        <v>51</v>
      </c>
      <c r="D49" s="16">
        <v>1</v>
      </c>
      <c r="E49" s="17">
        <v>1288.1250000000005</v>
      </c>
    </row>
    <row r="50" spans="1:5" x14ac:dyDescent="0.75">
      <c r="A50" s="13" t="s">
        <v>65</v>
      </c>
      <c r="B50" s="14" t="s">
        <v>1</v>
      </c>
      <c r="C50" s="15">
        <v>49</v>
      </c>
      <c r="D50" s="16">
        <v>2</v>
      </c>
      <c r="E50" s="17">
        <v>913.71000000000026</v>
      </c>
    </row>
    <row r="51" spans="1:5" x14ac:dyDescent="0.75">
      <c r="A51" s="13" t="s">
        <v>66</v>
      </c>
      <c r="B51" s="14" t="s">
        <v>12</v>
      </c>
      <c r="C51" s="15">
        <v>50</v>
      </c>
      <c r="D51" s="16">
        <v>1</v>
      </c>
      <c r="E51" s="17">
        <v>1339.6500000000003</v>
      </c>
    </row>
    <row r="52" spans="1:5" x14ac:dyDescent="0.75">
      <c r="A52" s="13" t="s">
        <v>67</v>
      </c>
      <c r="B52" s="14" t="s">
        <v>12</v>
      </c>
      <c r="C52" s="15">
        <v>65</v>
      </c>
      <c r="D52" s="16">
        <v>1</v>
      </c>
      <c r="E52" s="17">
        <v>412.2</v>
      </c>
    </row>
    <row r="53" spans="1:5" x14ac:dyDescent="0.75">
      <c r="A53" s="13" t="s">
        <v>68</v>
      </c>
      <c r="B53" s="14" t="s">
        <v>1</v>
      </c>
      <c r="C53" s="15">
        <v>48</v>
      </c>
      <c r="D53" s="16">
        <v>2</v>
      </c>
      <c r="E53" s="17">
        <v>934.32000000000028</v>
      </c>
    </row>
    <row r="54" spans="1:5" x14ac:dyDescent="0.75">
      <c r="A54" s="13" t="s">
        <v>69</v>
      </c>
      <c r="B54" s="14" t="s">
        <v>1</v>
      </c>
      <c r="C54" s="15">
        <v>54</v>
      </c>
      <c r="D54" s="16">
        <v>2</v>
      </c>
      <c r="E54" s="17">
        <v>755.7</v>
      </c>
    </row>
    <row r="55" spans="1:5" x14ac:dyDescent="0.75">
      <c r="A55" s="13" t="s">
        <v>70</v>
      </c>
      <c r="B55" s="14" t="s">
        <v>12</v>
      </c>
      <c r="C55" s="15">
        <v>31</v>
      </c>
      <c r="D55" s="16">
        <v>2</v>
      </c>
      <c r="E55" s="17">
        <v>504.94500000000022</v>
      </c>
    </row>
    <row r="56" spans="1:5" x14ac:dyDescent="0.75">
      <c r="A56" s="13" t="s">
        <v>71</v>
      </c>
      <c r="B56" s="14" t="s">
        <v>12</v>
      </c>
      <c r="C56" s="15">
        <v>36</v>
      </c>
      <c r="D56" s="16">
        <v>2</v>
      </c>
      <c r="E56" s="17">
        <v>645.78000000000031</v>
      </c>
    </row>
    <row r="57" spans="1:5" x14ac:dyDescent="0.75">
      <c r="A57" s="13" t="s">
        <v>72</v>
      </c>
      <c r="B57" s="14" t="s">
        <v>12</v>
      </c>
      <c r="C57" s="15">
        <v>54</v>
      </c>
      <c r="D57" s="16">
        <v>1</v>
      </c>
      <c r="E57" s="17">
        <v>1133.5500000000004</v>
      </c>
    </row>
    <row r="58" spans="1:5" x14ac:dyDescent="0.75">
      <c r="A58" s="13" t="s">
        <v>73</v>
      </c>
      <c r="B58" s="14" t="s">
        <v>1</v>
      </c>
      <c r="C58" s="15">
        <v>47</v>
      </c>
      <c r="D58" s="16">
        <v>2</v>
      </c>
      <c r="E58" s="17">
        <v>954.9300000000004</v>
      </c>
    </row>
    <row r="59" spans="1:5" x14ac:dyDescent="0.75">
      <c r="A59" s="13" t="s">
        <v>74</v>
      </c>
      <c r="B59" s="14" t="s">
        <v>12</v>
      </c>
      <c r="C59" s="15">
        <v>50</v>
      </c>
      <c r="D59" s="16">
        <v>1</v>
      </c>
      <c r="E59" s="17">
        <v>1339.6500000000003</v>
      </c>
    </row>
    <row r="60" spans="1:5" x14ac:dyDescent="0.75">
      <c r="A60" s="13" t="s">
        <v>75</v>
      </c>
      <c r="B60" s="14" t="s">
        <v>1</v>
      </c>
      <c r="C60" s="15">
        <v>50</v>
      </c>
      <c r="D60" s="16">
        <v>2</v>
      </c>
      <c r="E60" s="17">
        <v>893.10000000000025</v>
      </c>
    </row>
    <row r="61" spans="1:5" x14ac:dyDescent="0.75">
      <c r="A61" s="13" t="s">
        <v>76</v>
      </c>
      <c r="B61" s="14" t="s">
        <v>12</v>
      </c>
      <c r="C61" s="15">
        <v>45</v>
      </c>
      <c r="D61" s="16">
        <v>1</v>
      </c>
      <c r="E61" s="17">
        <v>1494.2250000000004</v>
      </c>
    </row>
    <row r="62" spans="1:5" x14ac:dyDescent="0.75">
      <c r="A62" s="13" t="s">
        <v>77</v>
      </c>
      <c r="B62" s="14" t="s">
        <v>12</v>
      </c>
      <c r="C62" s="15">
        <v>23</v>
      </c>
      <c r="D62" s="16">
        <v>1</v>
      </c>
      <c r="E62" s="17">
        <v>474.0300000000002</v>
      </c>
    </row>
    <row r="63" spans="1:5" x14ac:dyDescent="0.75">
      <c r="A63" s="13" t="s">
        <v>78</v>
      </c>
      <c r="B63" s="14" t="s">
        <v>1</v>
      </c>
      <c r="C63" s="15">
        <v>29</v>
      </c>
      <c r="D63" s="16">
        <v>2</v>
      </c>
      <c r="E63" s="17">
        <v>453.42000000000024</v>
      </c>
    </row>
    <row r="64" spans="1:5" x14ac:dyDescent="0.75">
      <c r="A64" s="13" t="s">
        <v>79</v>
      </c>
      <c r="B64" s="14" t="s">
        <v>12</v>
      </c>
      <c r="C64" s="15">
        <v>26</v>
      </c>
      <c r="D64" s="16">
        <v>1</v>
      </c>
      <c r="E64" s="17">
        <v>556.47000000000014</v>
      </c>
    </row>
    <row r="65" spans="1:5" x14ac:dyDescent="0.75">
      <c r="A65" s="13" t="s">
        <v>80</v>
      </c>
      <c r="B65" s="14" t="s">
        <v>1</v>
      </c>
      <c r="C65" s="15">
        <v>44</v>
      </c>
      <c r="D65" s="16">
        <v>2</v>
      </c>
      <c r="E65" s="17">
        <v>961.80000000000041</v>
      </c>
    </row>
    <row r="66" spans="1:5" x14ac:dyDescent="0.75">
      <c r="A66" s="13" t="s">
        <v>81</v>
      </c>
      <c r="B66" s="14" t="s">
        <v>12</v>
      </c>
      <c r="C66" s="15">
        <v>51</v>
      </c>
      <c r="D66" s="16">
        <v>1</v>
      </c>
      <c r="E66" s="17">
        <v>1288.1250000000005</v>
      </c>
    </row>
    <row r="67" spans="1:5" x14ac:dyDescent="0.75">
      <c r="A67" s="13" t="s">
        <v>82</v>
      </c>
      <c r="B67" s="14" t="s">
        <v>12</v>
      </c>
      <c r="C67" s="15">
        <v>66</v>
      </c>
      <c r="D67" s="16">
        <v>1</v>
      </c>
      <c r="E67" s="17">
        <v>329.76</v>
      </c>
    </row>
    <row r="68" spans="1:5" x14ac:dyDescent="0.75">
      <c r="A68" s="13" t="s">
        <v>83</v>
      </c>
      <c r="B68" s="14" t="s">
        <v>1</v>
      </c>
      <c r="C68" s="15">
        <v>59</v>
      </c>
      <c r="D68" s="16">
        <v>2</v>
      </c>
      <c r="E68" s="17">
        <v>583.95000000000005</v>
      </c>
    </row>
    <row r="69" spans="1:5" x14ac:dyDescent="0.75">
      <c r="A69" s="13" t="s">
        <v>84</v>
      </c>
      <c r="B69" s="14" t="s">
        <v>12</v>
      </c>
      <c r="C69" s="15">
        <v>58</v>
      </c>
      <c r="D69" s="16">
        <v>2</v>
      </c>
      <c r="E69" s="17">
        <v>618.29999999999995</v>
      </c>
    </row>
    <row r="70" spans="1:5" x14ac:dyDescent="0.75">
      <c r="A70" s="13" t="s">
        <v>85</v>
      </c>
      <c r="B70" s="14" t="s">
        <v>12</v>
      </c>
      <c r="C70" s="15">
        <v>51</v>
      </c>
      <c r="D70" s="16">
        <v>1</v>
      </c>
      <c r="E70" s="17">
        <v>1288.1250000000005</v>
      </c>
    </row>
    <row r="71" spans="1:5" x14ac:dyDescent="0.75">
      <c r="A71" s="13" t="s">
        <v>86</v>
      </c>
      <c r="B71" s="14" t="s">
        <v>12</v>
      </c>
      <c r="C71" s="15">
        <v>34</v>
      </c>
      <c r="D71" s="16">
        <v>1</v>
      </c>
      <c r="E71" s="17">
        <v>865.61999999999989</v>
      </c>
    </row>
    <row r="72" spans="1:5" x14ac:dyDescent="0.75">
      <c r="A72" s="13" t="s">
        <v>87</v>
      </c>
      <c r="B72" s="14" t="s">
        <v>1</v>
      </c>
      <c r="C72" s="15">
        <v>69</v>
      </c>
      <c r="D72" s="16">
        <v>2</v>
      </c>
      <c r="E72" s="17">
        <v>54.96</v>
      </c>
    </row>
    <row r="73" spans="1:5" x14ac:dyDescent="0.75">
      <c r="A73" s="13" t="s">
        <v>88</v>
      </c>
      <c r="B73" s="14" t="s">
        <v>1</v>
      </c>
      <c r="C73" s="15">
        <v>54</v>
      </c>
      <c r="D73" s="16">
        <v>1</v>
      </c>
      <c r="E73" s="17">
        <v>1133.5500000000004</v>
      </c>
    </row>
    <row r="74" spans="1:5" x14ac:dyDescent="0.75">
      <c r="A74" s="13" t="s">
        <v>89</v>
      </c>
      <c r="B74" s="14" t="s">
        <v>1</v>
      </c>
      <c r="C74" s="15">
        <v>37</v>
      </c>
      <c r="D74" s="16">
        <v>1</v>
      </c>
      <c r="E74" s="17">
        <v>1035.6524999999999</v>
      </c>
    </row>
    <row r="75" spans="1:5" x14ac:dyDescent="0.75">
      <c r="A75" s="13" t="s">
        <v>90</v>
      </c>
      <c r="B75" s="14" t="s">
        <v>1</v>
      </c>
      <c r="C75" s="15">
        <v>54</v>
      </c>
      <c r="D75" s="16">
        <v>2</v>
      </c>
      <c r="E75" s="17">
        <v>755.7</v>
      </c>
    </row>
    <row r="76" spans="1:5" x14ac:dyDescent="0.75">
      <c r="A76" s="13" t="s">
        <v>91</v>
      </c>
      <c r="B76" s="14" t="s">
        <v>1</v>
      </c>
      <c r="C76" s="15">
        <v>26</v>
      </c>
      <c r="D76" s="16">
        <v>2</v>
      </c>
      <c r="E76" s="17">
        <v>370.98000000000019</v>
      </c>
    </row>
    <row r="77" spans="1:5" x14ac:dyDescent="0.75">
      <c r="A77" s="13" t="s">
        <v>92</v>
      </c>
      <c r="B77" s="14" t="s">
        <v>12</v>
      </c>
      <c r="C77" s="15">
        <v>65</v>
      </c>
      <c r="D77" s="16">
        <v>1</v>
      </c>
      <c r="E77" s="17">
        <v>412.2</v>
      </c>
    </row>
    <row r="78" spans="1:5" x14ac:dyDescent="0.75">
      <c r="A78" s="13" t="s">
        <v>93</v>
      </c>
      <c r="B78" s="14" t="s">
        <v>1</v>
      </c>
      <c r="C78" s="15">
        <v>50</v>
      </c>
      <c r="D78" s="16">
        <v>1</v>
      </c>
      <c r="E78" s="17">
        <v>1339.6500000000003</v>
      </c>
    </row>
    <row r="79" spans="1:5" x14ac:dyDescent="0.75">
      <c r="A79" s="13" t="s">
        <v>94</v>
      </c>
      <c r="B79" s="14" t="s">
        <v>12</v>
      </c>
      <c r="C79" s="15">
        <v>57</v>
      </c>
      <c r="D79" s="16">
        <v>2</v>
      </c>
      <c r="E79" s="17">
        <v>652.65</v>
      </c>
    </row>
    <row r="80" spans="1:5" x14ac:dyDescent="0.75">
      <c r="A80" s="13" t="s">
        <v>95</v>
      </c>
      <c r="B80" s="14" t="s">
        <v>1</v>
      </c>
      <c r="C80" s="15">
        <v>37</v>
      </c>
      <c r="D80" s="16">
        <v>1</v>
      </c>
      <c r="E80" s="17">
        <v>1035.6524999999999</v>
      </c>
    </row>
    <row r="81" spans="1:5" x14ac:dyDescent="0.75">
      <c r="A81" s="13" t="s">
        <v>96</v>
      </c>
      <c r="B81" s="14" t="s">
        <v>1</v>
      </c>
      <c r="C81" s="15">
        <v>47</v>
      </c>
      <c r="D81" s="16">
        <v>1</v>
      </c>
      <c r="E81" s="17">
        <v>1432.3950000000004</v>
      </c>
    </row>
    <row r="82" spans="1:5" x14ac:dyDescent="0.75">
      <c r="A82" s="13" t="s">
        <v>97</v>
      </c>
      <c r="B82" s="14" t="s">
        <v>1</v>
      </c>
      <c r="C82" s="15">
        <v>64</v>
      </c>
      <c r="D82" s="16">
        <v>1</v>
      </c>
      <c r="E82" s="17">
        <v>494.64</v>
      </c>
    </row>
    <row r="83" spans="1:5" x14ac:dyDescent="0.75">
      <c r="A83" s="13" t="s">
        <v>98</v>
      </c>
      <c r="B83" s="14" t="s">
        <v>1</v>
      </c>
      <c r="C83" s="15">
        <v>35</v>
      </c>
      <c r="D83" s="16">
        <v>2</v>
      </c>
      <c r="E83" s="17">
        <v>601.12500000000023</v>
      </c>
    </row>
    <row r="84" spans="1:5" x14ac:dyDescent="0.75">
      <c r="A84" s="13" t="s">
        <v>99</v>
      </c>
      <c r="B84" s="14" t="s">
        <v>1</v>
      </c>
      <c r="C84" s="15">
        <v>69</v>
      </c>
      <c r="D84" s="16">
        <v>1</v>
      </c>
      <c r="E84" s="17">
        <v>82.44</v>
      </c>
    </row>
    <row r="85" spans="1:5" x14ac:dyDescent="0.75">
      <c r="A85" s="13" t="s">
        <v>100</v>
      </c>
      <c r="B85" s="14" t="s">
        <v>1</v>
      </c>
      <c r="C85" s="15">
        <v>43</v>
      </c>
      <c r="D85" s="16">
        <v>1</v>
      </c>
      <c r="E85" s="17">
        <v>1391.1750000000002</v>
      </c>
    </row>
    <row r="86" spans="1:5" x14ac:dyDescent="0.75">
      <c r="A86" s="13" t="s">
        <v>101</v>
      </c>
      <c r="B86" s="14" t="s">
        <v>1</v>
      </c>
      <c r="C86" s="15">
        <v>43</v>
      </c>
      <c r="D86" s="16">
        <v>2</v>
      </c>
      <c r="E86" s="17">
        <v>927.45000000000039</v>
      </c>
    </row>
    <row r="87" spans="1:5" x14ac:dyDescent="0.75">
      <c r="A87" s="13" t="s">
        <v>102</v>
      </c>
      <c r="B87" s="14" t="s">
        <v>1</v>
      </c>
      <c r="C87" s="15">
        <v>54</v>
      </c>
      <c r="D87" s="16">
        <v>1</v>
      </c>
      <c r="E87" s="17">
        <v>1133.5500000000004</v>
      </c>
    </row>
    <row r="88" spans="1:5" x14ac:dyDescent="0.75">
      <c r="A88" s="13" t="s">
        <v>103</v>
      </c>
      <c r="B88" s="14" t="s">
        <v>1</v>
      </c>
      <c r="C88" s="15">
        <v>64</v>
      </c>
      <c r="D88" s="16">
        <v>2</v>
      </c>
      <c r="E88" s="17">
        <v>329.76</v>
      </c>
    </row>
    <row r="89" spans="1:5" x14ac:dyDescent="0.75">
      <c r="A89" s="13" t="s">
        <v>104</v>
      </c>
      <c r="B89" s="14" t="s">
        <v>1</v>
      </c>
      <c r="C89" s="15">
        <v>36</v>
      </c>
      <c r="D89" s="16">
        <v>2</v>
      </c>
      <c r="E89" s="17">
        <v>645.78000000000031</v>
      </c>
    </row>
    <row r="90" spans="1:5" x14ac:dyDescent="0.75">
      <c r="A90" s="13" t="s">
        <v>105</v>
      </c>
      <c r="B90" s="14" t="s">
        <v>1</v>
      </c>
      <c r="C90" s="15">
        <v>44</v>
      </c>
      <c r="D90" s="16">
        <v>1</v>
      </c>
      <c r="E90" s="17">
        <v>1442.7000000000003</v>
      </c>
    </row>
    <row r="91" spans="1:5" x14ac:dyDescent="0.75">
      <c r="A91" s="13" t="s">
        <v>106</v>
      </c>
      <c r="B91" s="14" t="s">
        <v>12</v>
      </c>
      <c r="C91" s="15">
        <v>42</v>
      </c>
      <c r="D91" s="16">
        <v>2</v>
      </c>
      <c r="E91" s="17">
        <v>893.10000000000036</v>
      </c>
    </row>
    <row r="92" spans="1:5" x14ac:dyDescent="0.75">
      <c r="A92" s="13" t="s">
        <v>107</v>
      </c>
      <c r="B92" s="14" t="s">
        <v>1</v>
      </c>
      <c r="C92" s="15">
        <v>50</v>
      </c>
      <c r="D92" s="16">
        <v>2</v>
      </c>
      <c r="E92" s="17">
        <v>893.10000000000025</v>
      </c>
    </row>
    <row r="93" spans="1:5" x14ac:dyDescent="0.75">
      <c r="A93" s="13" t="s">
        <v>108</v>
      </c>
      <c r="B93" s="14" t="s">
        <v>1</v>
      </c>
      <c r="C93" s="15">
        <v>25</v>
      </c>
      <c r="D93" s="16">
        <v>1</v>
      </c>
      <c r="E93" s="17">
        <v>515.25000000000023</v>
      </c>
    </row>
    <row r="94" spans="1:5" x14ac:dyDescent="0.75">
      <c r="A94" s="13" t="s">
        <v>109</v>
      </c>
      <c r="B94" s="14" t="s">
        <v>12</v>
      </c>
      <c r="C94" s="15">
        <v>53</v>
      </c>
      <c r="D94" s="16">
        <v>2</v>
      </c>
      <c r="E94" s="17">
        <v>790.05000000000007</v>
      </c>
    </row>
    <row r="95" spans="1:5" x14ac:dyDescent="0.75">
      <c r="A95" s="13" t="s">
        <v>110</v>
      </c>
      <c r="B95" s="14" t="s">
        <v>1</v>
      </c>
      <c r="C95" s="15">
        <v>57</v>
      </c>
      <c r="D95" s="16">
        <v>1</v>
      </c>
      <c r="E95" s="17">
        <v>978.97500000000036</v>
      </c>
    </row>
    <row r="96" spans="1:5" x14ac:dyDescent="0.75">
      <c r="A96" s="13" t="s">
        <v>111</v>
      </c>
      <c r="B96" s="14" t="s">
        <v>12</v>
      </c>
      <c r="C96" s="15">
        <v>48</v>
      </c>
      <c r="D96" s="16">
        <v>2</v>
      </c>
      <c r="E96" s="17">
        <v>934.32000000000028</v>
      </c>
    </row>
    <row r="97" spans="1:5" x14ac:dyDescent="0.75">
      <c r="A97" s="13" t="s">
        <v>112</v>
      </c>
      <c r="B97" s="14" t="s">
        <v>1</v>
      </c>
      <c r="C97" s="15">
        <v>67</v>
      </c>
      <c r="D97" s="16">
        <v>2</v>
      </c>
      <c r="E97" s="17">
        <v>164.88</v>
      </c>
    </row>
    <row r="98" spans="1:5" x14ac:dyDescent="0.75">
      <c r="A98" s="13" t="s">
        <v>113</v>
      </c>
      <c r="B98" s="14" t="s">
        <v>12</v>
      </c>
      <c r="C98" s="15">
        <v>57</v>
      </c>
      <c r="D98" s="16">
        <v>2</v>
      </c>
      <c r="E98" s="17">
        <v>652.65</v>
      </c>
    </row>
    <row r="99" spans="1:5" x14ac:dyDescent="0.75">
      <c r="A99" s="13" t="s">
        <v>114</v>
      </c>
      <c r="B99" s="14" t="s">
        <v>1</v>
      </c>
      <c r="C99" s="15">
        <v>52</v>
      </c>
      <c r="D99" s="16">
        <v>1</v>
      </c>
      <c r="E99" s="17">
        <v>1236.6000000000004</v>
      </c>
    </row>
    <row r="100" spans="1:5" x14ac:dyDescent="0.75">
      <c r="A100" s="13" t="s">
        <v>115</v>
      </c>
      <c r="B100" s="14" t="s">
        <v>12</v>
      </c>
      <c r="C100" s="15">
        <v>31</v>
      </c>
      <c r="D100" s="16">
        <v>1</v>
      </c>
      <c r="E100" s="17">
        <v>757.41750000000002</v>
      </c>
    </row>
    <row r="101" spans="1:5" x14ac:dyDescent="0.75">
      <c r="A101" s="13" t="s">
        <v>116</v>
      </c>
      <c r="B101" s="14" t="s">
        <v>1</v>
      </c>
      <c r="C101" s="15">
        <v>46</v>
      </c>
      <c r="D101" s="16">
        <v>2</v>
      </c>
      <c r="E101" s="17">
        <v>975.5400000000003</v>
      </c>
    </row>
    <row r="102" spans="1:5" x14ac:dyDescent="0.75">
      <c r="A102" s="13" t="s">
        <v>119</v>
      </c>
      <c r="B102" s="29" t="s">
        <v>1</v>
      </c>
      <c r="C102" s="30">
        <v>44</v>
      </c>
      <c r="D102" s="31">
        <v>2</v>
      </c>
      <c r="E102" s="32">
        <v>961.80000000000041</v>
      </c>
    </row>
    <row r="103" spans="1:5" x14ac:dyDescent="0.75">
      <c r="A103" s="13" t="s">
        <v>120</v>
      </c>
      <c r="B103" s="29" t="s">
        <v>1</v>
      </c>
      <c r="C103" s="30">
        <v>63</v>
      </c>
      <c r="D103" s="31">
        <v>2</v>
      </c>
      <c r="E103" s="32">
        <v>384.71999999999997</v>
      </c>
    </row>
    <row r="104" spans="1:5" x14ac:dyDescent="0.75">
      <c r="A104" s="13" t="s">
        <v>121</v>
      </c>
      <c r="B104" s="29" t="s">
        <v>12</v>
      </c>
      <c r="C104" s="30">
        <v>68</v>
      </c>
      <c r="D104" s="31">
        <v>1</v>
      </c>
      <c r="E104" s="32">
        <v>164.88</v>
      </c>
    </row>
    <row r="105" spans="1:5" x14ac:dyDescent="0.75">
      <c r="A105" s="13" t="s">
        <v>122</v>
      </c>
      <c r="B105" s="29" t="s">
        <v>1</v>
      </c>
      <c r="C105" s="30">
        <v>52</v>
      </c>
      <c r="D105" s="31">
        <v>1</v>
      </c>
      <c r="E105" s="32">
        <v>1236.6000000000004</v>
      </c>
    </row>
    <row r="106" spans="1:5" x14ac:dyDescent="0.75">
      <c r="A106" s="13" t="s">
        <v>123</v>
      </c>
      <c r="B106" s="29" t="s">
        <v>12</v>
      </c>
      <c r="C106" s="30">
        <v>48</v>
      </c>
      <c r="D106" s="31">
        <v>1</v>
      </c>
      <c r="E106" s="32">
        <v>1401.4800000000005</v>
      </c>
    </row>
    <row r="107" spans="1:5" x14ac:dyDescent="0.75">
      <c r="A107" s="13" t="s">
        <v>124</v>
      </c>
      <c r="B107" s="29" t="s">
        <v>12</v>
      </c>
      <c r="C107" s="30">
        <v>68</v>
      </c>
      <c r="D107" s="31">
        <v>2</v>
      </c>
      <c r="E107" s="32">
        <v>109.92</v>
      </c>
    </row>
    <row r="108" spans="1:5" x14ac:dyDescent="0.75">
      <c r="A108" s="13" t="s">
        <v>125</v>
      </c>
      <c r="B108" s="29" t="s">
        <v>12</v>
      </c>
      <c r="C108" s="30">
        <v>27</v>
      </c>
      <c r="D108" s="31">
        <v>2</v>
      </c>
      <c r="E108" s="32">
        <v>398.46000000000021</v>
      </c>
    </row>
    <row r="109" spans="1:5" x14ac:dyDescent="0.75">
      <c r="A109" s="13" t="s">
        <v>126</v>
      </c>
      <c r="B109" s="29" t="s">
        <v>12</v>
      </c>
      <c r="C109" s="30">
        <v>48</v>
      </c>
      <c r="D109" s="31">
        <v>2</v>
      </c>
      <c r="E109" s="32">
        <v>934.32000000000028</v>
      </c>
    </row>
    <row r="110" spans="1:5" x14ac:dyDescent="0.75">
      <c r="A110" s="13" t="s">
        <v>127</v>
      </c>
      <c r="B110" s="29" t="s">
        <v>12</v>
      </c>
      <c r="C110" s="30">
        <v>41</v>
      </c>
      <c r="D110" s="31">
        <v>2</v>
      </c>
      <c r="E110" s="32">
        <v>858.75000000000034</v>
      </c>
    </row>
    <row r="111" spans="1:5" x14ac:dyDescent="0.75">
      <c r="A111" s="13" t="s">
        <v>128</v>
      </c>
      <c r="B111" s="29" t="s">
        <v>12</v>
      </c>
      <c r="C111" s="30">
        <v>33</v>
      </c>
      <c r="D111" s="31">
        <v>1</v>
      </c>
      <c r="E111" s="32">
        <v>829.5524999999999</v>
      </c>
    </row>
    <row r="112" spans="1:5" x14ac:dyDescent="0.75">
      <c r="A112" s="13" t="s">
        <v>129</v>
      </c>
      <c r="B112" s="29" t="s">
        <v>1</v>
      </c>
      <c r="C112" s="30">
        <v>28</v>
      </c>
      <c r="D112" s="31">
        <v>2</v>
      </c>
      <c r="E112" s="32">
        <v>425.94000000000023</v>
      </c>
    </row>
    <row r="113" spans="1:5" x14ac:dyDescent="0.75">
      <c r="A113" s="13" t="s">
        <v>130</v>
      </c>
      <c r="B113" s="29" t="s">
        <v>12</v>
      </c>
      <c r="C113" s="30">
        <v>78</v>
      </c>
      <c r="D113" s="31">
        <v>2</v>
      </c>
      <c r="E113" s="32">
        <v>0</v>
      </c>
    </row>
    <row r="114" spans="1:5" x14ac:dyDescent="0.75">
      <c r="A114" s="13" t="s">
        <v>131</v>
      </c>
      <c r="B114" s="29" t="s">
        <v>1</v>
      </c>
      <c r="C114" s="30">
        <v>69</v>
      </c>
      <c r="D114" s="31">
        <v>2</v>
      </c>
      <c r="E114" s="32">
        <v>54.96</v>
      </c>
    </row>
    <row r="115" spans="1:5" x14ac:dyDescent="0.75">
      <c r="A115" s="13" t="s">
        <v>132</v>
      </c>
      <c r="B115" s="29" t="s">
        <v>1</v>
      </c>
      <c r="C115" s="30">
        <v>74</v>
      </c>
      <c r="D115" s="31">
        <v>1</v>
      </c>
      <c r="E115" s="32">
        <v>0</v>
      </c>
    </row>
    <row r="116" spans="1:5" x14ac:dyDescent="0.75">
      <c r="A116" s="13" t="s">
        <v>133</v>
      </c>
      <c r="B116" s="29" t="s">
        <v>1</v>
      </c>
      <c r="C116" s="30">
        <v>69</v>
      </c>
      <c r="D116" s="31">
        <v>1</v>
      </c>
      <c r="E116" s="32">
        <v>82.44</v>
      </c>
    </row>
    <row r="117" spans="1:5" x14ac:dyDescent="0.75">
      <c r="A117" s="13" t="s">
        <v>134</v>
      </c>
      <c r="B117" s="29" t="s">
        <v>1</v>
      </c>
      <c r="C117" s="30">
        <v>47</v>
      </c>
      <c r="D117" s="31">
        <v>1</v>
      </c>
      <c r="E117" s="32">
        <v>1432.3950000000004</v>
      </c>
    </row>
    <row r="118" spans="1:5" x14ac:dyDescent="0.75">
      <c r="A118" s="13" t="s">
        <v>135</v>
      </c>
      <c r="B118" s="29" t="s">
        <v>1</v>
      </c>
      <c r="C118" s="30">
        <v>67</v>
      </c>
      <c r="D118" s="31">
        <v>1</v>
      </c>
      <c r="E118" s="32">
        <v>247.32</v>
      </c>
    </row>
    <row r="119" spans="1:5" x14ac:dyDescent="0.75">
      <c r="A119" s="13" t="s">
        <v>136</v>
      </c>
      <c r="B119" s="29" t="s">
        <v>1</v>
      </c>
      <c r="C119" s="30">
        <v>74</v>
      </c>
      <c r="D119" s="31">
        <v>1</v>
      </c>
      <c r="E119" s="32">
        <v>0</v>
      </c>
    </row>
    <row r="120" spans="1:5" x14ac:dyDescent="0.75">
      <c r="A120" s="13" t="s">
        <v>137</v>
      </c>
      <c r="B120" s="29" t="s">
        <v>1</v>
      </c>
      <c r="C120" s="30">
        <v>39</v>
      </c>
      <c r="D120" s="31">
        <v>1</v>
      </c>
      <c r="E120" s="32">
        <v>1169.6175000000001</v>
      </c>
    </row>
    <row r="121" spans="1:5" x14ac:dyDescent="0.75">
      <c r="A121" s="13" t="s">
        <v>138</v>
      </c>
      <c r="B121" s="29" t="s">
        <v>12</v>
      </c>
      <c r="C121" s="30">
        <v>54</v>
      </c>
      <c r="D121" s="31">
        <v>2</v>
      </c>
      <c r="E121" s="32">
        <v>755.7</v>
      </c>
    </row>
    <row r="122" spans="1:5" x14ac:dyDescent="0.75">
      <c r="A122" s="13" t="s">
        <v>139</v>
      </c>
      <c r="B122" s="29" t="s">
        <v>12</v>
      </c>
      <c r="C122" s="30">
        <v>25</v>
      </c>
      <c r="D122" s="31">
        <v>2</v>
      </c>
      <c r="E122" s="32">
        <v>343.50000000000017</v>
      </c>
    </row>
    <row r="123" spans="1:5" x14ac:dyDescent="0.75">
      <c r="A123" s="13" t="s">
        <v>140</v>
      </c>
      <c r="B123" s="29" t="s">
        <v>12</v>
      </c>
      <c r="C123" s="30">
        <v>21</v>
      </c>
      <c r="D123" s="31">
        <v>1</v>
      </c>
      <c r="E123" s="32">
        <v>432.81000000000017</v>
      </c>
    </row>
    <row r="124" spans="1:5" x14ac:dyDescent="0.75">
      <c r="A124" s="13" t="s">
        <v>141</v>
      </c>
      <c r="B124" s="29" t="s">
        <v>12</v>
      </c>
      <c r="C124" s="30">
        <v>66</v>
      </c>
      <c r="D124" s="31">
        <v>1</v>
      </c>
      <c r="E124" s="32">
        <v>329.76</v>
      </c>
    </row>
    <row r="125" spans="1:5" x14ac:dyDescent="0.75">
      <c r="A125" s="13" t="s">
        <v>142</v>
      </c>
      <c r="B125" s="29" t="s">
        <v>12</v>
      </c>
      <c r="C125" s="30">
        <v>31</v>
      </c>
      <c r="D125" s="31">
        <v>2</v>
      </c>
      <c r="E125" s="32">
        <v>504.94500000000022</v>
      </c>
    </row>
    <row r="126" spans="1:5" x14ac:dyDescent="0.75">
      <c r="A126" s="13" t="s">
        <v>143</v>
      </c>
      <c r="B126" s="29" t="s">
        <v>1</v>
      </c>
      <c r="C126" s="30">
        <v>54</v>
      </c>
      <c r="D126" s="31">
        <v>2</v>
      </c>
      <c r="E126" s="32">
        <v>755.7</v>
      </c>
    </row>
    <row r="127" spans="1:5" x14ac:dyDescent="0.75">
      <c r="A127" s="13" t="s">
        <v>144</v>
      </c>
      <c r="B127" s="29" t="s">
        <v>12</v>
      </c>
      <c r="C127" s="30">
        <v>24</v>
      </c>
      <c r="D127" s="31">
        <v>1</v>
      </c>
      <c r="E127" s="32">
        <v>494.64000000000016</v>
      </c>
    </row>
    <row r="128" spans="1:5" x14ac:dyDescent="0.75">
      <c r="A128" s="13" t="s">
        <v>145</v>
      </c>
      <c r="B128" s="29" t="s">
        <v>12</v>
      </c>
      <c r="C128" s="30">
        <v>70</v>
      </c>
      <c r="D128" s="31">
        <v>2</v>
      </c>
      <c r="E128" s="32">
        <v>0</v>
      </c>
    </row>
    <row r="129" spans="1:5" x14ac:dyDescent="0.75">
      <c r="A129" s="13" t="s">
        <v>146</v>
      </c>
      <c r="B129" s="29" t="s">
        <v>1</v>
      </c>
      <c r="C129" s="30">
        <v>37</v>
      </c>
      <c r="D129" s="31">
        <v>2</v>
      </c>
      <c r="E129" s="32">
        <v>690.43500000000029</v>
      </c>
    </row>
    <row r="130" spans="1:5" x14ac:dyDescent="0.75">
      <c r="A130" s="13" t="s">
        <v>147</v>
      </c>
      <c r="B130" s="29" t="s">
        <v>1</v>
      </c>
      <c r="C130" s="30">
        <v>63</v>
      </c>
      <c r="D130" s="31">
        <v>1</v>
      </c>
      <c r="E130" s="32">
        <v>577.07999999999993</v>
      </c>
    </row>
    <row r="131" spans="1:5" x14ac:dyDescent="0.75">
      <c r="A131" s="13" t="s">
        <v>148</v>
      </c>
      <c r="B131" s="29" t="s">
        <v>12</v>
      </c>
      <c r="C131" s="30">
        <v>61</v>
      </c>
      <c r="D131" s="31">
        <v>1</v>
      </c>
      <c r="E131" s="32">
        <v>741.96</v>
      </c>
    </row>
    <row r="132" spans="1:5" x14ac:dyDescent="0.75">
      <c r="A132" s="13" t="s">
        <v>149</v>
      </c>
      <c r="B132" s="29" t="s">
        <v>12</v>
      </c>
      <c r="C132" s="30">
        <v>42</v>
      </c>
      <c r="D132" s="31">
        <v>2</v>
      </c>
      <c r="E132" s="32">
        <v>893.10000000000036</v>
      </c>
    </row>
    <row r="133" spans="1:5" x14ac:dyDescent="0.75">
      <c r="A133" s="13" t="s">
        <v>150</v>
      </c>
      <c r="B133" s="29" t="s">
        <v>1</v>
      </c>
      <c r="C133" s="30">
        <v>47</v>
      </c>
      <c r="D133" s="31">
        <v>2</v>
      </c>
      <c r="E133" s="32">
        <v>954.9300000000004</v>
      </c>
    </row>
    <row r="134" spans="1:5" x14ac:dyDescent="0.75">
      <c r="A134" s="13" t="s">
        <v>151</v>
      </c>
      <c r="B134" s="29" t="s">
        <v>1</v>
      </c>
      <c r="C134" s="30">
        <v>24</v>
      </c>
      <c r="D134" s="31">
        <v>2</v>
      </c>
      <c r="E134" s="32">
        <v>329.76000000000016</v>
      </c>
    </row>
    <row r="135" spans="1:5" x14ac:dyDescent="0.75">
      <c r="A135" s="13" t="s">
        <v>152</v>
      </c>
      <c r="B135" s="29" t="s">
        <v>12</v>
      </c>
      <c r="C135" s="30">
        <v>52</v>
      </c>
      <c r="D135" s="31">
        <v>1</v>
      </c>
      <c r="E135" s="32">
        <v>1236.6000000000004</v>
      </c>
    </row>
    <row r="136" spans="1:5" x14ac:dyDescent="0.75">
      <c r="A136" s="13" t="s">
        <v>153</v>
      </c>
      <c r="B136" s="29" t="s">
        <v>1</v>
      </c>
      <c r="C136" s="30">
        <v>61</v>
      </c>
      <c r="D136" s="31">
        <v>2</v>
      </c>
      <c r="E136" s="32">
        <v>494.63999999999993</v>
      </c>
    </row>
    <row r="137" spans="1:5" x14ac:dyDescent="0.75">
      <c r="A137" s="13" t="s">
        <v>154</v>
      </c>
      <c r="B137" s="29" t="s">
        <v>1</v>
      </c>
      <c r="C137" s="30">
        <v>43</v>
      </c>
      <c r="D137" s="31">
        <v>1</v>
      </c>
      <c r="E137" s="32">
        <v>1391.1750000000002</v>
      </c>
    </row>
    <row r="138" spans="1:5" x14ac:dyDescent="0.75">
      <c r="A138" s="13" t="s">
        <v>155</v>
      </c>
      <c r="B138" s="29" t="s">
        <v>1</v>
      </c>
      <c r="C138" s="30">
        <v>24</v>
      </c>
      <c r="D138" s="31">
        <v>1</v>
      </c>
      <c r="E138" s="32">
        <v>494.64000000000016</v>
      </c>
    </row>
    <row r="139" spans="1:5" x14ac:dyDescent="0.75">
      <c r="A139" s="13" t="s">
        <v>156</v>
      </c>
      <c r="B139" s="29" t="s">
        <v>12</v>
      </c>
      <c r="C139" s="30">
        <v>53</v>
      </c>
      <c r="D139" s="31">
        <v>2</v>
      </c>
      <c r="E139" s="32">
        <v>790.05000000000007</v>
      </c>
    </row>
    <row r="140" spans="1:5" x14ac:dyDescent="0.75">
      <c r="A140" s="13" t="s">
        <v>157</v>
      </c>
      <c r="B140" s="29" t="s">
        <v>1</v>
      </c>
      <c r="C140" s="30">
        <v>49</v>
      </c>
      <c r="D140" s="31">
        <v>1</v>
      </c>
      <c r="E140" s="32">
        <v>1370.5650000000005</v>
      </c>
    </row>
    <row r="141" spans="1:5" x14ac:dyDescent="0.75">
      <c r="A141" s="13" t="s">
        <v>158</v>
      </c>
      <c r="B141" s="29" t="s">
        <v>1</v>
      </c>
      <c r="C141" s="30">
        <v>59</v>
      </c>
      <c r="D141" s="31">
        <v>2</v>
      </c>
      <c r="E141" s="32">
        <v>583.95000000000005</v>
      </c>
    </row>
    <row r="142" spans="1:5" x14ac:dyDescent="0.75">
      <c r="A142" s="13" t="s">
        <v>159</v>
      </c>
      <c r="B142" s="29" t="s">
        <v>12</v>
      </c>
      <c r="C142" s="30">
        <v>75</v>
      </c>
      <c r="D142" s="31">
        <v>2</v>
      </c>
      <c r="E142" s="32">
        <v>0</v>
      </c>
    </row>
    <row r="143" spans="1:5" x14ac:dyDescent="0.75">
      <c r="A143" s="13" t="s">
        <v>160</v>
      </c>
      <c r="B143" s="29" t="s">
        <v>1</v>
      </c>
      <c r="C143" s="30">
        <v>58</v>
      </c>
      <c r="D143" s="31">
        <v>2</v>
      </c>
      <c r="E143" s="32">
        <v>618.29999999999995</v>
      </c>
    </row>
    <row r="144" spans="1:5" x14ac:dyDescent="0.75">
      <c r="A144" s="13" t="s">
        <v>161</v>
      </c>
      <c r="B144" s="29" t="s">
        <v>1</v>
      </c>
      <c r="C144" s="30">
        <v>40</v>
      </c>
      <c r="D144" s="31">
        <v>2</v>
      </c>
      <c r="E144" s="32">
        <v>824.40000000000032</v>
      </c>
    </row>
    <row r="145" spans="1:5" x14ac:dyDescent="0.75">
      <c r="A145" s="13" t="s">
        <v>162</v>
      </c>
      <c r="B145" s="29" t="s">
        <v>12</v>
      </c>
      <c r="C145" s="30">
        <v>21</v>
      </c>
      <c r="D145" s="31">
        <v>2</v>
      </c>
      <c r="E145" s="32">
        <v>288.54000000000013</v>
      </c>
    </row>
    <row r="146" spans="1:5" x14ac:dyDescent="0.75">
      <c r="A146" s="13" t="s">
        <v>163</v>
      </c>
      <c r="B146" s="29" t="s">
        <v>1</v>
      </c>
      <c r="C146" s="30">
        <v>63</v>
      </c>
      <c r="D146" s="31">
        <v>2</v>
      </c>
      <c r="E146" s="32">
        <v>384.71999999999997</v>
      </c>
    </row>
    <row r="147" spans="1:5" x14ac:dyDescent="0.75">
      <c r="A147" s="13" t="s">
        <v>164</v>
      </c>
      <c r="B147" s="29" t="s">
        <v>12</v>
      </c>
      <c r="C147" s="30">
        <v>32</v>
      </c>
      <c r="D147" s="31">
        <v>1</v>
      </c>
      <c r="E147" s="32">
        <v>793.4849999999999</v>
      </c>
    </row>
    <row r="148" spans="1:5" x14ac:dyDescent="0.75">
      <c r="A148" s="13" t="s">
        <v>165</v>
      </c>
      <c r="B148" s="29" t="s">
        <v>1</v>
      </c>
      <c r="C148" s="30">
        <v>28</v>
      </c>
      <c r="D148" s="31">
        <v>1</v>
      </c>
      <c r="E148" s="32">
        <v>638.91000000000008</v>
      </c>
    </row>
    <row r="149" spans="1:5" x14ac:dyDescent="0.75">
      <c r="A149" s="13" t="s">
        <v>166</v>
      </c>
      <c r="B149" s="29" t="s">
        <v>12</v>
      </c>
      <c r="C149" s="30">
        <v>24</v>
      </c>
      <c r="D149" s="31">
        <v>1</v>
      </c>
      <c r="E149" s="32">
        <v>494.64000000000016</v>
      </c>
    </row>
    <row r="150" spans="1:5" x14ac:dyDescent="0.75">
      <c r="A150" s="13" t="s">
        <v>167</v>
      </c>
      <c r="B150" s="29" t="s">
        <v>1</v>
      </c>
      <c r="C150" s="30">
        <v>32</v>
      </c>
      <c r="D150" s="31">
        <v>2</v>
      </c>
      <c r="E150" s="32">
        <v>528.99000000000024</v>
      </c>
    </row>
    <row r="151" spans="1:5" x14ac:dyDescent="0.75">
      <c r="A151" s="13" t="s">
        <v>168</v>
      </c>
      <c r="B151" s="29" t="s">
        <v>1</v>
      </c>
      <c r="C151" s="30">
        <v>33</v>
      </c>
      <c r="D151" s="31">
        <v>1</v>
      </c>
      <c r="E151" s="32">
        <v>829.5524999999999</v>
      </c>
    </row>
    <row r="152" spans="1:5" x14ac:dyDescent="0.75">
      <c r="A152" s="13" t="s">
        <v>169</v>
      </c>
      <c r="B152" s="29" t="s">
        <v>12</v>
      </c>
      <c r="C152" s="30">
        <v>58</v>
      </c>
      <c r="D152" s="31">
        <v>2</v>
      </c>
      <c r="E152" s="32">
        <v>618.29999999999995</v>
      </c>
    </row>
    <row r="153" spans="1:5" x14ac:dyDescent="0.75">
      <c r="A153" s="13" t="s">
        <v>170</v>
      </c>
      <c r="B153" s="29" t="s">
        <v>12</v>
      </c>
      <c r="C153" s="30">
        <v>23</v>
      </c>
      <c r="D153" s="31">
        <v>1</v>
      </c>
      <c r="E153" s="32">
        <v>474.0300000000002</v>
      </c>
    </row>
    <row r="154" spans="1:5" x14ac:dyDescent="0.75">
      <c r="A154" s="13" t="s">
        <v>171</v>
      </c>
      <c r="B154" s="29" t="s">
        <v>1</v>
      </c>
      <c r="C154" s="30">
        <v>32</v>
      </c>
      <c r="D154" s="31">
        <v>1</v>
      </c>
      <c r="E154" s="32">
        <v>793.4849999999999</v>
      </c>
    </row>
    <row r="155" spans="1:5" x14ac:dyDescent="0.75">
      <c r="A155" s="13" t="s">
        <v>172</v>
      </c>
      <c r="B155" s="29" t="s">
        <v>1</v>
      </c>
      <c r="C155" s="30">
        <v>38</v>
      </c>
      <c r="D155" s="31">
        <v>1</v>
      </c>
      <c r="E155" s="32">
        <v>1102.635</v>
      </c>
    </row>
    <row r="156" spans="1:5" x14ac:dyDescent="0.75">
      <c r="A156" s="13" t="s">
        <v>173</v>
      </c>
      <c r="B156" s="29" t="s">
        <v>12</v>
      </c>
      <c r="C156" s="30">
        <v>51</v>
      </c>
      <c r="D156" s="31">
        <v>2</v>
      </c>
      <c r="E156" s="32">
        <v>858.75000000000023</v>
      </c>
    </row>
    <row r="157" spans="1:5" x14ac:dyDescent="0.75">
      <c r="A157" s="13" t="s">
        <v>174</v>
      </c>
      <c r="B157" s="29" t="s">
        <v>12</v>
      </c>
      <c r="C157" s="30">
        <v>79</v>
      </c>
      <c r="D157" s="31">
        <v>2</v>
      </c>
      <c r="E157" s="32">
        <v>0</v>
      </c>
    </row>
    <row r="158" spans="1:5" x14ac:dyDescent="0.75">
      <c r="A158" s="13" t="s">
        <v>175</v>
      </c>
      <c r="B158" s="29" t="s">
        <v>12</v>
      </c>
      <c r="C158" s="30">
        <v>60</v>
      </c>
      <c r="D158" s="31">
        <v>2</v>
      </c>
      <c r="E158" s="32">
        <v>549.59999999999991</v>
      </c>
    </row>
    <row r="159" spans="1:5" x14ac:dyDescent="0.75">
      <c r="A159" s="13" t="s">
        <v>176</v>
      </c>
      <c r="B159" s="29" t="s">
        <v>12</v>
      </c>
      <c r="C159" s="30">
        <v>64</v>
      </c>
      <c r="D159" s="31">
        <v>1</v>
      </c>
      <c r="E159" s="32">
        <v>494.64</v>
      </c>
    </row>
    <row r="160" spans="1:5" x14ac:dyDescent="0.75">
      <c r="A160" s="13" t="s">
        <v>177</v>
      </c>
      <c r="B160" s="29" t="s">
        <v>1</v>
      </c>
      <c r="C160" s="30">
        <v>75</v>
      </c>
      <c r="D160" s="31">
        <v>1</v>
      </c>
      <c r="E160" s="32">
        <v>0</v>
      </c>
    </row>
    <row r="161" spans="1:5" x14ac:dyDescent="0.75">
      <c r="A161" s="13" t="s">
        <v>178</v>
      </c>
      <c r="B161" s="29" t="s">
        <v>12</v>
      </c>
      <c r="C161" s="30">
        <v>80</v>
      </c>
      <c r="D161" s="31">
        <v>1</v>
      </c>
      <c r="E161" s="32">
        <v>0</v>
      </c>
    </row>
    <row r="162" spans="1:5" x14ac:dyDescent="0.75">
      <c r="A162" s="13" t="s">
        <v>179</v>
      </c>
      <c r="B162" s="29" t="s">
        <v>1</v>
      </c>
      <c r="C162" s="30">
        <v>46</v>
      </c>
      <c r="D162" s="31">
        <v>1</v>
      </c>
      <c r="E162" s="32">
        <v>1463.3100000000004</v>
      </c>
    </row>
    <row r="163" spans="1:5" x14ac:dyDescent="0.75">
      <c r="A163" s="13" t="s">
        <v>180</v>
      </c>
      <c r="B163" s="29" t="s">
        <v>12</v>
      </c>
      <c r="C163" s="30">
        <v>51</v>
      </c>
      <c r="D163" s="31">
        <v>2</v>
      </c>
      <c r="E163" s="32">
        <v>858.75000000000023</v>
      </c>
    </row>
    <row r="164" spans="1:5" x14ac:dyDescent="0.75">
      <c r="A164" s="13" t="s">
        <v>181</v>
      </c>
      <c r="B164" s="29" t="s">
        <v>12</v>
      </c>
      <c r="C164" s="30">
        <v>66</v>
      </c>
      <c r="D164" s="31">
        <v>2</v>
      </c>
      <c r="E164" s="32">
        <v>219.84</v>
      </c>
    </row>
    <row r="165" spans="1:5" x14ac:dyDescent="0.75">
      <c r="A165" s="13" t="s">
        <v>182</v>
      </c>
      <c r="B165" s="29" t="s">
        <v>1</v>
      </c>
      <c r="C165" s="30">
        <v>28</v>
      </c>
      <c r="D165" s="31">
        <v>2</v>
      </c>
      <c r="E165" s="32">
        <v>425.94000000000023</v>
      </c>
    </row>
    <row r="166" spans="1:5" x14ac:dyDescent="0.75">
      <c r="A166" s="13" t="s">
        <v>183</v>
      </c>
      <c r="B166" s="29" t="s">
        <v>1</v>
      </c>
      <c r="C166" s="30">
        <v>58</v>
      </c>
      <c r="D166" s="31">
        <v>2</v>
      </c>
      <c r="E166" s="32">
        <v>618.29999999999995</v>
      </c>
    </row>
    <row r="167" spans="1:5" x14ac:dyDescent="0.75">
      <c r="A167" s="13" t="s">
        <v>184</v>
      </c>
      <c r="B167" s="29" t="s">
        <v>12</v>
      </c>
      <c r="C167" s="30">
        <v>53</v>
      </c>
      <c r="D167" s="31">
        <v>1</v>
      </c>
      <c r="E167" s="32">
        <v>1185.0750000000003</v>
      </c>
    </row>
    <row r="168" spans="1:5" x14ac:dyDescent="0.75">
      <c r="A168" s="13" t="s">
        <v>185</v>
      </c>
      <c r="B168" s="29" t="s">
        <v>1</v>
      </c>
      <c r="C168" s="30">
        <v>77</v>
      </c>
      <c r="D168" s="31">
        <v>1</v>
      </c>
      <c r="E168" s="32">
        <v>0</v>
      </c>
    </row>
    <row r="169" spans="1:5" x14ac:dyDescent="0.75">
      <c r="A169" s="13" t="s">
        <v>186</v>
      </c>
      <c r="B169" s="29" t="s">
        <v>1</v>
      </c>
      <c r="C169" s="30">
        <v>36</v>
      </c>
      <c r="D169" s="31">
        <v>1</v>
      </c>
      <c r="E169" s="32">
        <v>968.66999999999985</v>
      </c>
    </row>
    <row r="170" spans="1:5" x14ac:dyDescent="0.75">
      <c r="A170" s="13" t="s">
        <v>187</v>
      </c>
      <c r="B170" s="29" t="s">
        <v>12</v>
      </c>
      <c r="C170" s="30">
        <v>73</v>
      </c>
      <c r="D170" s="31">
        <v>2</v>
      </c>
      <c r="E170" s="32">
        <v>0</v>
      </c>
    </row>
    <row r="171" spans="1:5" x14ac:dyDescent="0.75">
      <c r="A171" s="13" t="s">
        <v>188</v>
      </c>
      <c r="B171" s="29" t="s">
        <v>1</v>
      </c>
      <c r="C171" s="30">
        <v>66</v>
      </c>
      <c r="D171" s="31">
        <v>1</v>
      </c>
      <c r="E171" s="32">
        <v>329.76</v>
      </c>
    </row>
    <row r="172" spans="1:5" x14ac:dyDescent="0.75">
      <c r="A172" s="13" t="s">
        <v>189</v>
      </c>
      <c r="B172" s="29" t="s">
        <v>1</v>
      </c>
      <c r="C172" s="30">
        <v>59</v>
      </c>
      <c r="D172" s="31">
        <v>1</v>
      </c>
      <c r="E172" s="32">
        <v>875.92500000000018</v>
      </c>
    </row>
    <row r="173" spans="1:5" x14ac:dyDescent="0.75">
      <c r="A173" s="13" t="s">
        <v>190</v>
      </c>
      <c r="B173" s="29" t="s">
        <v>1</v>
      </c>
      <c r="C173" s="30">
        <v>52</v>
      </c>
      <c r="D173" s="31">
        <v>2</v>
      </c>
      <c r="E173" s="32">
        <v>824.40000000000009</v>
      </c>
    </row>
    <row r="174" spans="1:5" x14ac:dyDescent="0.75">
      <c r="A174" s="13" t="s">
        <v>191</v>
      </c>
      <c r="B174" s="29" t="s">
        <v>1</v>
      </c>
      <c r="C174" s="30">
        <v>46</v>
      </c>
      <c r="D174" s="31">
        <v>2</v>
      </c>
      <c r="E174" s="32">
        <v>975.5400000000003</v>
      </c>
    </row>
    <row r="175" spans="1:5" x14ac:dyDescent="0.75">
      <c r="A175" s="13" t="s">
        <v>192</v>
      </c>
      <c r="B175" s="29" t="s">
        <v>12</v>
      </c>
      <c r="C175" s="30">
        <v>25</v>
      </c>
      <c r="D175" s="31">
        <v>1</v>
      </c>
      <c r="E175" s="32">
        <v>515.25000000000023</v>
      </c>
    </row>
    <row r="176" spans="1:5" x14ac:dyDescent="0.75">
      <c r="A176" s="13" t="s">
        <v>193</v>
      </c>
      <c r="B176" s="29" t="s">
        <v>12</v>
      </c>
      <c r="C176" s="30">
        <v>36</v>
      </c>
      <c r="D176" s="31">
        <v>2</v>
      </c>
      <c r="E176" s="32">
        <v>645.78000000000031</v>
      </c>
    </row>
    <row r="177" spans="1:5" x14ac:dyDescent="0.75">
      <c r="A177" s="13" t="s">
        <v>194</v>
      </c>
      <c r="B177" s="29" t="s">
        <v>12</v>
      </c>
      <c r="C177" s="30">
        <v>77</v>
      </c>
      <c r="D177" s="31">
        <v>1</v>
      </c>
      <c r="E177" s="32">
        <v>0</v>
      </c>
    </row>
    <row r="178" spans="1:5" x14ac:dyDescent="0.75">
      <c r="A178" s="13" t="s">
        <v>195</v>
      </c>
      <c r="B178" s="29" t="s">
        <v>1</v>
      </c>
      <c r="C178" s="30">
        <v>36</v>
      </c>
      <c r="D178" s="31">
        <v>2</v>
      </c>
      <c r="E178" s="32">
        <v>645.78000000000031</v>
      </c>
    </row>
    <row r="179" spans="1:5" x14ac:dyDescent="0.75">
      <c r="A179" s="13" t="s">
        <v>196</v>
      </c>
      <c r="B179" s="29" t="s">
        <v>12</v>
      </c>
      <c r="C179" s="30">
        <v>37</v>
      </c>
      <c r="D179" s="31">
        <v>2</v>
      </c>
      <c r="E179" s="32">
        <v>690.43500000000029</v>
      </c>
    </row>
    <row r="180" spans="1:5" x14ac:dyDescent="0.75">
      <c r="A180" s="13" t="s">
        <v>197</v>
      </c>
      <c r="B180" s="29" t="s">
        <v>1</v>
      </c>
      <c r="C180" s="30">
        <v>49</v>
      </c>
      <c r="D180" s="31">
        <v>2</v>
      </c>
      <c r="E180" s="32">
        <v>913.71000000000026</v>
      </c>
    </row>
    <row r="181" spans="1:5" x14ac:dyDescent="0.75">
      <c r="A181" s="13" t="s">
        <v>198</v>
      </c>
      <c r="B181" s="29" t="s">
        <v>12</v>
      </c>
      <c r="C181" s="30">
        <v>79</v>
      </c>
      <c r="D181" s="31">
        <v>1</v>
      </c>
      <c r="E181" s="32">
        <v>0</v>
      </c>
    </row>
    <row r="182" spans="1:5" x14ac:dyDescent="0.75">
      <c r="A182" s="13" t="s">
        <v>199</v>
      </c>
      <c r="B182" s="29" t="s">
        <v>12</v>
      </c>
      <c r="C182" s="30">
        <v>30</v>
      </c>
      <c r="D182" s="31">
        <v>1</v>
      </c>
      <c r="E182" s="32">
        <v>721.35</v>
      </c>
    </row>
    <row r="183" spans="1:5" x14ac:dyDescent="0.75">
      <c r="A183" s="13" t="s">
        <v>200</v>
      </c>
      <c r="B183" s="29" t="s">
        <v>12</v>
      </c>
      <c r="C183" s="30">
        <v>51</v>
      </c>
      <c r="D183" s="31">
        <v>2</v>
      </c>
      <c r="E183" s="32">
        <v>858.75000000000023</v>
      </c>
    </row>
    <row r="184" spans="1:5" x14ac:dyDescent="0.75">
      <c r="A184" s="13" t="s">
        <v>201</v>
      </c>
      <c r="B184" s="29" t="s">
        <v>1</v>
      </c>
      <c r="C184" s="30">
        <v>52</v>
      </c>
      <c r="D184" s="31">
        <v>1</v>
      </c>
      <c r="E184" s="32">
        <v>1236.6000000000004</v>
      </c>
    </row>
    <row r="185" spans="1:5" x14ac:dyDescent="0.75">
      <c r="A185" s="13" t="s">
        <v>202</v>
      </c>
      <c r="B185" s="29" t="s">
        <v>12</v>
      </c>
      <c r="C185" s="30">
        <v>38</v>
      </c>
      <c r="D185" s="31">
        <v>2</v>
      </c>
      <c r="E185" s="32">
        <v>735.09000000000037</v>
      </c>
    </row>
    <row r="186" spans="1:5" x14ac:dyDescent="0.75">
      <c r="A186" s="13" t="s">
        <v>203</v>
      </c>
      <c r="B186" s="29" t="s">
        <v>12</v>
      </c>
      <c r="C186" s="30">
        <v>48</v>
      </c>
      <c r="D186" s="31">
        <v>1</v>
      </c>
      <c r="E186" s="32">
        <v>1401.4800000000005</v>
      </c>
    </row>
    <row r="187" spans="1:5" x14ac:dyDescent="0.75">
      <c r="A187" s="13" t="s">
        <v>204</v>
      </c>
      <c r="B187" s="29" t="s">
        <v>12</v>
      </c>
      <c r="C187" s="30">
        <v>41</v>
      </c>
      <c r="D187" s="31">
        <v>2</v>
      </c>
      <c r="E187" s="32">
        <v>858.75000000000034</v>
      </c>
    </row>
    <row r="188" spans="1:5" x14ac:dyDescent="0.75">
      <c r="A188" s="13" t="s">
        <v>205</v>
      </c>
      <c r="B188" s="29" t="s">
        <v>1</v>
      </c>
      <c r="C188" s="30">
        <v>67</v>
      </c>
      <c r="D188" s="31">
        <v>1</v>
      </c>
      <c r="E188" s="32">
        <v>247.32</v>
      </c>
    </row>
    <row r="189" spans="1:5" x14ac:dyDescent="0.75">
      <c r="A189" s="13" t="s">
        <v>206</v>
      </c>
      <c r="B189" s="29" t="s">
        <v>12</v>
      </c>
      <c r="C189" s="30">
        <v>52</v>
      </c>
      <c r="D189" s="31">
        <v>2</v>
      </c>
      <c r="E189" s="32">
        <v>824.40000000000009</v>
      </c>
    </row>
    <row r="190" spans="1:5" x14ac:dyDescent="0.75">
      <c r="A190" s="13" t="s">
        <v>207</v>
      </c>
      <c r="B190" s="29" t="s">
        <v>12</v>
      </c>
      <c r="C190" s="30">
        <v>79</v>
      </c>
      <c r="D190" s="31">
        <v>2</v>
      </c>
      <c r="E190" s="32">
        <v>0</v>
      </c>
    </row>
    <row r="191" spans="1:5" x14ac:dyDescent="0.75">
      <c r="A191" s="13" t="s">
        <v>208</v>
      </c>
      <c r="B191" s="29" t="s">
        <v>12</v>
      </c>
      <c r="C191" s="30">
        <v>49</v>
      </c>
      <c r="D191" s="31">
        <v>1</v>
      </c>
      <c r="E191" s="32">
        <v>1370.5650000000005</v>
      </c>
    </row>
    <row r="192" spans="1:5" x14ac:dyDescent="0.75">
      <c r="A192" s="13" t="s">
        <v>209</v>
      </c>
      <c r="B192" s="29" t="s">
        <v>1</v>
      </c>
      <c r="C192" s="30">
        <v>80</v>
      </c>
      <c r="D192" s="31">
        <v>2</v>
      </c>
      <c r="E192" s="32">
        <v>0</v>
      </c>
    </row>
    <row r="193" spans="1:5" x14ac:dyDescent="0.75">
      <c r="A193" s="13" t="s">
        <v>210</v>
      </c>
      <c r="B193" s="29" t="s">
        <v>12</v>
      </c>
      <c r="C193" s="30">
        <v>68</v>
      </c>
      <c r="D193" s="31">
        <v>1</v>
      </c>
      <c r="E193" s="32">
        <v>164.88</v>
      </c>
    </row>
    <row r="194" spans="1:5" x14ac:dyDescent="0.75">
      <c r="A194" s="13" t="s">
        <v>211</v>
      </c>
      <c r="B194" s="29" t="s">
        <v>1</v>
      </c>
      <c r="C194" s="30">
        <v>75</v>
      </c>
      <c r="D194" s="31">
        <v>1</v>
      </c>
      <c r="E194" s="32">
        <v>0</v>
      </c>
    </row>
    <row r="195" spans="1:5" x14ac:dyDescent="0.75">
      <c r="A195" s="13" t="s">
        <v>212</v>
      </c>
      <c r="B195" s="29" t="s">
        <v>12</v>
      </c>
      <c r="C195" s="30">
        <v>29</v>
      </c>
      <c r="D195" s="31">
        <v>2</v>
      </c>
      <c r="E195" s="32">
        <v>453.42000000000024</v>
      </c>
    </row>
    <row r="196" spans="1:5" x14ac:dyDescent="0.75">
      <c r="A196" s="13" t="s">
        <v>213</v>
      </c>
      <c r="B196" s="29" t="s">
        <v>1</v>
      </c>
      <c r="C196" s="30">
        <v>38</v>
      </c>
      <c r="D196" s="31">
        <v>2</v>
      </c>
      <c r="E196" s="32">
        <v>735.09000000000037</v>
      </c>
    </row>
    <row r="197" spans="1:5" x14ac:dyDescent="0.75">
      <c r="A197" s="13" t="s">
        <v>214</v>
      </c>
      <c r="B197" s="29" t="s">
        <v>12</v>
      </c>
      <c r="C197" s="30">
        <v>75</v>
      </c>
      <c r="D197" s="31">
        <v>1</v>
      </c>
      <c r="E197" s="32">
        <v>0</v>
      </c>
    </row>
    <row r="198" spans="1:5" x14ac:dyDescent="0.75">
      <c r="A198" s="13" t="s">
        <v>215</v>
      </c>
      <c r="B198" s="29" t="s">
        <v>12</v>
      </c>
      <c r="C198" s="30">
        <v>61</v>
      </c>
      <c r="D198" s="31">
        <v>1</v>
      </c>
      <c r="E198" s="32">
        <v>741.96</v>
      </c>
    </row>
    <row r="199" spans="1:5" x14ac:dyDescent="0.75">
      <c r="A199" s="13" t="s">
        <v>216</v>
      </c>
      <c r="B199" s="29" t="s">
        <v>1</v>
      </c>
      <c r="C199" s="30">
        <v>45</v>
      </c>
      <c r="D199" s="31">
        <v>1</v>
      </c>
      <c r="E199" s="32">
        <v>1494.2250000000004</v>
      </c>
    </row>
    <row r="200" spans="1:5" x14ac:dyDescent="0.75">
      <c r="A200" s="13" t="s">
        <v>217</v>
      </c>
      <c r="B200" s="29" t="s">
        <v>1</v>
      </c>
      <c r="C200" s="30">
        <v>69</v>
      </c>
      <c r="D200" s="31">
        <v>1</v>
      </c>
      <c r="E200" s="32">
        <v>82.44</v>
      </c>
    </row>
    <row r="201" spans="1:5" x14ac:dyDescent="0.75">
      <c r="A201" s="13" t="s">
        <v>218</v>
      </c>
      <c r="B201" s="29" t="s">
        <v>12</v>
      </c>
      <c r="C201" s="30">
        <v>66</v>
      </c>
      <c r="D201" s="31">
        <v>2</v>
      </c>
      <c r="E201" s="32">
        <v>219.84</v>
      </c>
    </row>
  </sheetData>
  <phoneticPr fontId="9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Projected_Claims_Tool</vt:lpstr>
      <vt:lpstr>Policyholder_Data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 Quoc Huy</dc:creator>
  <cp:lastModifiedBy>Mai Quoc Huy</cp:lastModifiedBy>
  <dcterms:created xsi:type="dcterms:W3CDTF">2024-09-24T03:36:41Z</dcterms:created>
  <dcterms:modified xsi:type="dcterms:W3CDTF">2025-04-15T16:11:43Z</dcterms:modified>
</cp:coreProperties>
</file>